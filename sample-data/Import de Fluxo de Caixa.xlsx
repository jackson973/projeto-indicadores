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ubro" sheetId="1" r:id="rId5"/>
    <sheet state="visible" name="Novembro" sheetId="2" r:id="rId6"/>
    <sheet state="visible" name="Dezembro" sheetId="3" r:id="rId7"/>
    <sheet state="visible" name="Jan26" sheetId="4" r:id="rId8"/>
    <sheet state="visible" name="Fev26" sheetId="5" r:id="rId9"/>
    <sheet state="visible" name="Mar26" sheetId="6" r:id="rId10"/>
    <sheet state="visible" name="Abr26" sheetId="7" r:id="rId11"/>
  </sheets>
  <definedNames>
    <definedName hidden="1" localSheetId="0" name="_xlnm._FilterDatabase">Outubro!$A$2:$G$40</definedName>
    <definedName hidden="1" localSheetId="1" name="_xlnm._FilterDatabase">Novembro!$A$2:$G$69</definedName>
    <definedName hidden="1" localSheetId="2" name="_xlnm._FilterDatabase">Dezembro!$A$2:$G$82</definedName>
    <definedName hidden="1" localSheetId="3" name="_xlnm._FilterDatabase">'Jan26'!$A$2:$AA$77</definedName>
    <definedName hidden="1" localSheetId="4" name="_xlnm._FilterDatabase">'Fev26'!$A$2:$AA$51</definedName>
  </definedNames>
  <calcPr/>
</workbook>
</file>

<file path=xl/sharedStrings.xml><?xml version="1.0" encoding="utf-8"?>
<sst xmlns="http://schemas.openxmlformats.org/spreadsheetml/2006/main" count="1020" uniqueCount="165">
  <si>
    <t>FLUXO DE CAIXA OUTUBRO/2025</t>
  </si>
  <si>
    <t>STATUS</t>
  </si>
  <si>
    <t>DATA</t>
  </si>
  <si>
    <t>TIPO</t>
  </si>
  <si>
    <t>HISTÓRICO</t>
  </si>
  <si>
    <t>DESPESA</t>
  </si>
  <si>
    <t>RECEITA</t>
  </si>
  <si>
    <t>SALDO</t>
  </si>
  <si>
    <t>SALDO INICIAL</t>
  </si>
  <si>
    <t>OK</t>
  </si>
  <si>
    <t>RECEBIMENTO</t>
  </si>
  <si>
    <t>TRANSFERENCIA SHOPEE</t>
  </si>
  <si>
    <t>FORNECEDORES</t>
  </si>
  <si>
    <t>ETIQUETA TÉRMICA</t>
  </si>
  <si>
    <t>SHOPEE ADS</t>
  </si>
  <si>
    <t>MATÉRIA PRIMA</t>
  </si>
  <si>
    <t>PAGAMENTO PEDIDO 25/08 - TUCK KIDS PARC 1/3</t>
  </si>
  <si>
    <t>PAGAMENTO PEDIDO 05/09 - TUCK KIDS PARC 1/3</t>
  </si>
  <si>
    <t>CONTABILIDADE</t>
  </si>
  <si>
    <t>FOLHA</t>
  </si>
  <si>
    <t>PAGAMENTO SALÁRIO BRUNA</t>
  </si>
  <si>
    <t>PAGAMENTO PEDIDO 10/10 - KAPPES PARC 1/4</t>
  </si>
  <si>
    <t>APORTE</t>
  </si>
  <si>
    <t>APORTE JACKSON 2.246,82</t>
  </si>
  <si>
    <t>PAGAMENTO PEDIDO 16/09 - KAPPES</t>
  </si>
  <si>
    <t>TRANSFERENCIA MERCADO LIVRE</t>
  </si>
  <si>
    <t>CARTAO</t>
  </si>
  <si>
    <t>CURSOS E TREINAMENTO PARC 1/12</t>
  </si>
  <si>
    <t>IMPOSTO</t>
  </si>
  <si>
    <t>IMPOSTO PROJETADO DE SETEMBRO</t>
  </si>
  <si>
    <t>VENDA POR FORA</t>
  </si>
  <si>
    <t>PAGAMENTO PEDIDO 22/07 - TUCK KIDS 3/3</t>
  </si>
  <si>
    <t>PAGAMENTO PEDIDO PROG 09/10 - TUCK KIDS 1/3</t>
  </si>
  <si>
    <t>RENDIMENTO CAIXINHA</t>
  </si>
  <si>
    <t>PAGAMENTO PEDIDO 22/07 - TUCK KIDS 1/3</t>
  </si>
  <si>
    <t>FLUXO DE CAIXA NOVEMBRO/2025</t>
  </si>
  <si>
    <t>Ok</t>
  </si>
  <si>
    <t>PAGAMENTO PEDIDO 25/08 - TUCK KIDS PARC 2/3</t>
  </si>
  <si>
    <t>PAGAMENTO PEDIDO 05/09 - TUCK KIDS PARC 2/3</t>
  </si>
  <si>
    <t>UPSELLER</t>
  </si>
  <si>
    <t>PAGAMENTO PEDIDO 07/10 - TUCK KIDS PARC 1/3</t>
  </si>
  <si>
    <t>PAGAMENTO PEDIDO 10/10 - KAPPES PARC 2/4</t>
  </si>
  <si>
    <t>ETIQUETA IMPRESSORA TÉRMICA</t>
  </si>
  <si>
    <t>CURSOS E TREINAMENTO PARC 2/12</t>
  </si>
  <si>
    <t>PAGAMENTO PEDIDO 15/10 - TUCK KIDS PARC 1/3</t>
  </si>
  <si>
    <t>PAGAMENTO PEDIDO 03/10 - TUCK KIDS PARC 1/3</t>
  </si>
  <si>
    <t>IMPOSTO PROJETADO DE OUTUBRO</t>
  </si>
  <si>
    <t>PAGAMENTO PEDIDO PROG 09/10 - TUCK KIDS 2/3</t>
  </si>
  <si>
    <t>PAGAMENTO PEDIDO PROG 22/10 - TUCK KIDS 1/3</t>
  </si>
  <si>
    <t>COMPRA ENVELOPE DE SEGURANÇA</t>
  </si>
  <si>
    <t>PAGAMENTO PEDIDO DAPEEN 27/11</t>
  </si>
  <si>
    <t>PAGAMENTO PEDIDO 29/09 - TUCK KIDS 2/3</t>
  </si>
  <si>
    <t>PAGAMENTO PEDIDO 31/10 - TUCK KIDS 1/3</t>
  </si>
  <si>
    <t>FLUXO DE CAIXA DEZEMBRO/2025</t>
  </si>
  <si>
    <t>PAGAMENTO PEDIDO 02/11 - TUCK KIDS PARC 1/3</t>
  </si>
  <si>
    <t>PAGAMENTO PEDIDO 04/11 - TUCK KIDS PARC 1/3</t>
  </si>
  <si>
    <t>PAGAMENTO PEDIDO 03/10 - TUCK KIDS PARC 2/3</t>
  </si>
  <si>
    <t>PAGAMENTO PEDIDO 25/08 - TUCK KIDS PARC 3/3</t>
  </si>
  <si>
    <t>PAGAMENTO PEDIDO 05/09 - TUCK KIDS PARC 3/3</t>
  </si>
  <si>
    <t>PAGAMENTO PEDIDO 07/10 - TUCK KIDS PARC 2/3</t>
  </si>
  <si>
    <t>PAGAMENTO PEDIDO 10/10 - KAPPES PARC 3/4</t>
  </si>
  <si>
    <t>RESGATE VALOR SÓCIOS</t>
  </si>
  <si>
    <t>PAGAMENTO PEDIDO 08/12 - KAPPES PARC 1/4</t>
  </si>
  <si>
    <t>PAGAMENTO PEDIDO 10/11 - TUCK KIDS PARC 1/3</t>
  </si>
  <si>
    <t>ENVELOPE DE SEGURANÇA</t>
  </si>
  <si>
    <t>PAGAMENTO PEDIDO 12/11 - TUCK KIDS PARC 1/3</t>
  </si>
  <si>
    <t>CURSOS E TREINAMENTO PARC 3/12</t>
  </si>
  <si>
    <t>PAGAMENTO PEDIDO 14/11 - TUCK KIDS PARC 1/3</t>
  </si>
  <si>
    <t>PAGAMENTO PEDIDO 15/10 - TUCK KIDS PARC 2/3</t>
  </si>
  <si>
    <t>PAGAMENTO PEDIDO 16/12 - KAPPES</t>
  </si>
  <si>
    <t>IMPOSTO PROJETADO DE NOVEMBRO</t>
  </si>
  <si>
    <t>PAGAMENTO PEDIDO PROG 22/10 - TUCK KIDS 2/3</t>
  </si>
  <si>
    <t>PAGAMENTO PEDIDO 24/11 - TUCK KIDS 1/3</t>
  </si>
  <si>
    <t>PAGAMENTO PEDIDO 29/09 - TUCK KIDS 3/3</t>
  </si>
  <si>
    <t>PAGAMENTO PEDIDO 31/10 - TUCK KIDS 2/3</t>
  </si>
  <si>
    <t>TRANSFERENCIA PROJETADA SHOPEE</t>
  </si>
  <si>
    <t>PAGAMENTO PEDIDO PROG 09/10 - TUCK KIDS 3/3</t>
  </si>
  <si>
    <t>PAGAMENTO PEDIDO 31/11 - TUCK KIDS 1/3</t>
  </si>
  <si>
    <t>FLUXO DE CAIXA JANEIRO/2026</t>
  </si>
  <si>
    <t>PAGAMENTO PEDIDO 01/12 - TUCK KIDS PARC 1/3</t>
  </si>
  <si>
    <t>PAGAMENTO PEDIDO 02/11 - TUCK KIDS PARC 2/3</t>
  </si>
  <si>
    <t>PAGAMENTO PEDIDO 03/10 - TUCK KIDS PARC 3/3</t>
  </si>
  <si>
    <t>SHOPEE ADS - SONHO MEU</t>
  </si>
  <si>
    <t>PAGAMENTO PEDIDO 07/10 - TUCK KIDS PARC 3/3</t>
  </si>
  <si>
    <t>PAGAMENTO PEDIDO 10/10 - KAPPES PARC 4/4</t>
  </si>
  <si>
    <t>PAGAMENTO PEDIDO 04/11 - TUCK KIDS PARC 2/3</t>
  </si>
  <si>
    <t>PAGAMENTO PEDIDO 08/12 - KAPPES PARC 2/4</t>
  </si>
  <si>
    <t>PAGAMENTO PEDIDO 10/11 - TUCK KIDS PARC 2/3</t>
  </si>
  <si>
    <t>MULTA</t>
  </si>
  <si>
    <t>MULTA ATRASO PAGAMENTOS</t>
  </si>
  <si>
    <t>CURSOS E TREINAMENTO PARC 4/12</t>
  </si>
  <si>
    <t>PAGAMENTO PEDIDO 11/12 - TUCK KIDS PARC 1/3</t>
  </si>
  <si>
    <t>PAGAMENTO PEDIDO 12/11 - TUCK KIDS PARC 2/3</t>
  </si>
  <si>
    <t>PAGAMENTO PEDIDO 12/01 - DAPPEN PARC 1/1</t>
  </si>
  <si>
    <t>PAGAMENTO PEDIDO 04/12 - TUCK KIDS PARC 1/3</t>
  </si>
  <si>
    <t>PAGAMENTO PEDIDO 15/12 - TUCK KIDS PARC 1/3</t>
  </si>
  <si>
    <t>PAGAMENTO PEDIDO 15/10 - TUCK KIDS PARC 3/3</t>
  </si>
  <si>
    <t>PAGAMENTO PEDIDO 15/01 - DAPPEN PARC 1/1</t>
  </si>
  <si>
    <t>PAGAMENTO PEDIDO 14/11 - TUCK KIDS PARC 2/3</t>
  </si>
  <si>
    <t>ETIQUETA TÉRMICA IMPRESSORA</t>
  </si>
  <si>
    <t>PAGAMENTO PEDIDO PROGRAMADO  - TUCK KIDS PARC 1/3</t>
  </si>
  <si>
    <t>PAGAMENTO PEDIDO 16/12 - TUCK KIDS PARC 1/3</t>
  </si>
  <si>
    <t>IMPOSTO PROJETADO DE DEZEMBRO</t>
  </si>
  <si>
    <t>ADS MERCADO LIVRE</t>
  </si>
  <si>
    <t>PAGAMENTO PEDIDO PROG 22/10 - TUCK KIDS 3/3</t>
  </si>
  <si>
    <t>PAGAMENTO PEDIDO 24/11 - TUCK KIDS 2/3</t>
  </si>
  <si>
    <t>GASOLINA CD MERCADO LIVRE</t>
  </si>
  <si>
    <t>PAGAMENTO PEDIDO PROG 15/01 - HEY KIDS 1/3</t>
  </si>
  <si>
    <t>PAGAMENTO PEDIDO 31/10 - TUCK KIDS 3/3</t>
  </si>
  <si>
    <t>PAGAMENTO PEDIDO 31/11 - TUCK KIDS 2/3</t>
  </si>
  <si>
    <t>PAGAMENTO PEDIDO 01/12 - TUCK KIDS PARC 2/3</t>
  </si>
  <si>
    <t>FLUXO DE CAIXA FEVEREIRO/2026</t>
  </si>
  <si>
    <t>PAGAMENTO PEDIDO 02/11 - TUCK KIDS PARC 3/3</t>
  </si>
  <si>
    <t>GASOLINA MERCADORIA EM GASPAR</t>
  </si>
  <si>
    <t>PAGAMENTO PEDIDO PROG 26/12 - TUCK KIDS 1/3</t>
  </si>
  <si>
    <t>PAGAMENTO PEDIDO 02/01 - TUCK KIDS PARC 1/3</t>
  </si>
  <si>
    <t>PAGAMENTO PEDIDO 04/11 - TUCK KIDS PARC 3/3</t>
  </si>
  <si>
    <t>PAGAMENTO PEDIDO 08/12 - KAPPES PARC 3/4</t>
  </si>
  <si>
    <t>PAGAMENTO PEDIDO 10/11 - TUCK KIDS PARC 3/3</t>
  </si>
  <si>
    <t>TIKTOK ADS</t>
  </si>
  <si>
    <t>TIKTOK ADS - BÁSICO MAIS CRIATIVO</t>
  </si>
  <si>
    <t>EMBALAGEM MILHEIRO</t>
  </si>
  <si>
    <t>CURSOS E TREINAMENTO PARC 5/12</t>
  </si>
  <si>
    <t>PAGAMENTO PEDIDO 12/01 - TUCK KIDS PARC 1/3</t>
  </si>
  <si>
    <t>PAGAMENTO PEDIDO 12/11 - TUCK KIDS PARC 3/3</t>
  </si>
  <si>
    <t>AGENDADO</t>
  </si>
  <si>
    <t>PAGAMENTO PEDIDO 11/12 - TUCK KIDS PARC 2/3</t>
  </si>
  <si>
    <t>PAGAMENTO PEDIDO 04/12 - TUCK KIDS PARC 2/3</t>
  </si>
  <si>
    <t>PAGAMENTO PEDIDO 14/11 - TUCK KIDS PARC 3/3</t>
  </si>
  <si>
    <t>PAGAMENTO PEDIDO 15/12 - TUCK KIDS PARC 2/3</t>
  </si>
  <si>
    <t>PAGAMENTO PEDIDO PROGRAMADO  - TUCK KIDS PARC 2/3</t>
  </si>
  <si>
    <t>PAGAMENTO PEDIDO 16/12 - TUCK KIDS PARC 2/3</t>
  </si>
  <si>
    <t>PAGAMENTO PEDIDO 19/01 - TUCK KIDS PARC 1/3</t>
  </si>
  <si>
    <t>IMPOSTO PROJETADO DE JANEIRO</t>
  </si>
  <si>
    <t>PAGAMENTO PEDIDO 24/11 - TUCK KIDS 3/3</t>
  </si>
  <si>
    <t>PAGAMENTO PEDIDO 26/12 - TUCK KIDS 1/3</t>
  </si>
  <si>
    <t>PAGAMENTO PEDIDO 20/01 - TUCK KIDS 1/3</t>
  </si>
  <si>
    <t>30/02/2026</t>
  </si>
  <si>
    <t>FLUXO DE CAIXA MARÇO/2026</t>
  </si>
  <si>
    <t>PAGAMENTO PEDIDO 01/12 - TUCK KIDS PARC 3/3</t>
  </si>
  <si>
    <t>PAGAMENTO PEDIDO 31/11 - TUCK KIDS 3/3</t>
  </si>
  <si>
    <t>PAGAMENTO PEDIDO 04/12 - TUCK KIDS PARC 3/3</t>
  </si>
  <si>
    <t>PAGAMENTO PEDIDO 02/01 - TUCK KIDS PARC 2/3</t>
  </si>
  <si>
    <t>PAGAMENTO PEDIDO 26/12 - TUCK KIDS PARC 2/3</t>
  </si>
  <si>
    <t>PAGAMENTO PEDIDO PROG 15/01 - HEY KIDS 2/3</t>
  </si>
  <si>
    <t>PAGAMENTO PEDIDO 08/12 - KAPPES PARC 4/4</t>
  </si>
  <si>
    <t>PAGAMENTO PEDIDO 11/12 - TUCK KIDS PARC 3/3</t>
  </si>
  <si>
    <t>PAGAMENTO PEDIDO 12/01 - TUCK KIDS PARC 2/3</t>
  </si>
  <si>
    <t>CURSOS E TREINAMENTO PARC 6/12</t>
  </si>
  <si>
    <t>PAGAMENTO PEDIDO 15/12 - TUCK KIDS PARC 3/3</t>
  </si>
  <si>
    <t>PAGAMENTO PEDIDO PROGRAMADO  - TUCK KIDS PARC 3/3</t>
  </si>
  <si>
    <t>PAGAMENTO PEDIDO 16/12 - TUCK KIDS PARC 3/3</t>
  </si>
  <si>
    <t>PAGAMENTO PEDIDO 19/01 - TUCK KIDS PARC 2/3</t>
  </si>
  <si>
    <t>PAGAMENTO PEDIDO 26/12 - TUCK KIDS 2/3</t>
  </si>
  <si>
    <t>PAGAMENTO PEDIDO PROG 20/01 - TUCK KIDS 2/3</t>
  </si>
  <si>
    <t>FLUXO DE CAIXA ABRIL/2026</t>
  </si>
  <si>
    <t>PAGAMENTO PEDIDO 26/12 - TUCK KIDS PARC 3/3</t>
  </si>
  <si>
    <t>PAGAMENTO PEDIDO 02/01 - TUCK KIDS PARC 3/3</t>
  </si>
  <si>
    <t>PAGAMENTO PEDIDO PROG 15/01 - HEY KIDS 3/3</t>
  </si>
  <si>
    <t>PAGAMENTO PEDIDO 12/01 - TUCK KIDS PARC 3/3</t>
  </si>
  <si>
    <t>CURSOS E TREINAMENTO PARC 7/12</t>
  </si>
  <si>
    <t>PAGAMENTO PEDIDO 19/01 - TUCK KIDS PARC 3/3</t>
  </si>
  <si>
    <t>PAGAMENTO PEDIDO 26/12 - TUCK KIDS 3/3</t>
  </si>
  <si>
    <t>PAGAMENTO PEDIDO 20/01 - TUCK KIDS PARC 3/3</t>
  </si>
  <si>
    <t>IMPOSTO PROJETADO DE ABRIL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</si>
</sst>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/m/yyyy"/>
  </numFmts>
  <fonts count="13">
    <font>
      <sz val="10.0"/>
      <color rgb="FF000000"/>
      <name val="Arial"/>
      <scheme val="minor"/>
    </font>
    <font>
      <b/>
      <sz val="12.0"/>
      <color rgb="FF000000"/>
      <name val="Roboto"/>
    </font>
    <font/>
    <font>
      <sz val="12.0"/>
      <color theme="1"/>
      <name val="Roboto"/>
    </font>
    <font>
      <b/>
      <sz val="12.0"/>
      <color rgb="FFFFFFFF"/>
      <name val="Roboto"/>
    </font>
    <font>
      <sz val="12.0"/>
      <color rgb="FF434343"/>
      <name val="Roboto"/>
    </font>
    <font>
      <sz val="12.0"/>
      <color rgb="FFFF0000"/>
      <name val="Roboto"/>
    </font>
    <font>
      <sz val="12.0"/>
      <color rgb="FF215C98"/>
      <name val="Roboto"/>
    </font>
    <font>
      <u/>
      <sz val="12.0"/>
      <color rgb="FF215C98"/>
      <name val="Roboto"/>
    </font>
    <font>
      <color theme="1"/>
      <name val="Arial"/>
    </font>
    <font>
      <b/>
      <sz val="12.0"/>
      <color rgb="FF434343"/>
      <name val="Roboto"/>
    </font>
    <font>
      <sz val="12.0"/>
      <color rgb="FF000000"/>
      <name val="Roboto"/>
    </font>
    <font>
      <b/>
      <sz val="12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FF2CC"/>
        <bgColor rgb="FFFFF2CC"/>
      </patternFill>
    </fill>
  </fills>
  <borders count="5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1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3" fontId="4" numFmtId="0" xfId="0" applyAlignment="1" applyFill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right" readingOrder="0" vertical="center"/>
    </xf>
    <xf borderId="2" fillId="2" fontId="1" numFmtId="0" xfId="0" applyAlignment="1" applyBorder="1" applyFont="1">
      <alignment horizontal="right" readingOrder="0" vertical="center"/>
    </xf>
    <xf borderId="4" fillId="2" fontId="1" numFmtId="164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5" numFmtId="165" xfId="0" applyAlignment="1" applyBorder="1" applyFont="1" applyNumberFormat="1">
      <alignment horizontal="center" readingOrder="0" shrinkToFit="0" vertical="center" wrapText="0"/>
    </xf>
    <xf borderId="4" fillId="0" fontId="6" numFmtId="164" xfId="0" applyAlignment="1" applyBorder="1" applyFont="1" applyNumberFormat="1">
      <alignment horizontal="center" shrinkToFit="0" vertical="center" wrapText="0"/>
    </xf>
    <xf borderId="4" fillId="0" fontId="7" numFmtId="164" xfId="0" applyAlignment="1" applyBorder="1" applyFont="1" applyNumberFormat="1">
      <alignment horizontal="center" readingOrder="0" shrinkToFit="0" vertical="center" wrapText="0"/>
    </xf>
    <xf borderId="4" fillId="2" fontId="5" numFmtId="164" xfId="0" applyAlignment="1" applyBorder="1" applyFont="1" applyNumberFormat="1">
      <alignment horizontal="center" readingOrder="0" shrinkToFit="0" vertical="center" wrapText="0"/>
    </xf>
    <xf borderId="4" fillId="0" fontId="6" numFmtId="164" xfId="0" applyAlignment="1" applyBorder="1" applyFont="1" applyNumberFormat="1">
      <alignment horizontal="center" readingOrder="0" shrinkToFit="0" vertical="center" wrapText="0"/>
    </xf>
    <xf borderId="4" fillId="0" fontId="8" numFmtId="164" xfId="0" applyAlignment="1" applyBorder="1" applyFont="1" applyNumberFormat="1">
      <alignment horizontal="center" shrinkToFit="0" vertical="center" wrapText="0"/>
    </xf>
    <xf borderId="4" fillId="0" fontId="7" numFmtId="164" xfId="0" applyAlignment="1" applyBorder="1" applyFont="1" applyNumberFormat="1">
      <alignment horizontal="center" shrinkToFit="0" vertical="center" wrapText="0"/>
    </xf>
    <xf borderId="4" fillId="0" fontId="5" numFmtId="164" xfId="0" applyAlignment="1" applyBorder="1" applyFont="1" applyNumberFormat="1">
      <alignment horizontal="center" readingOrder="0" shrinkToFit="0" vertical="center" wrapText="0"/>
    </xf>
    <xf borderId="4" fillId="0" fontId="5" numFmtId="166" xfId="0" applyAlignment="1" applyBorder="1" applyFont="1" applyNumberFormat="1">
      <alignment horizontal="center" readingOrder="0" shrinkToFit="0" vertical="center" wrapText="0"/>
    </xf>
    <xf borderId="4" fillId="0" fontId="5" numFmtId="166" xfId="0" applyAlignment="1" applyBorder="1" applyFont="1" applyNumberFormat="1">
      <alignment horizontal="center"/>
    </xf>
    <xf borderId="4" fillId="0" fontId="5" numFmtId="165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4" fillId="0" fontId="9" numFmtId="164" xfId="0" applyBorder="1" applyFont="1" applyNumberFormat="1"/>
    <xf borderId="4" fillId="0" fontId="7" numFmtId="164" xfId="0" applyAlignment="1" applyBorder="1" applyFont="1" applyNumberFormat="1">
      <alignment horizontal="center"/>
    </xf>
    <xf borderId="4" fillId="0" fontId="5" numFmtId="165" xfId="0" applyAlignment="1" applyBorder="1" applyFont="1" applyNumberFormat="1">
      <alignment horizontal="center" readingOrder="0"/>
    </xf>
    <xf borderId="4" fillId="0" fontId="7" numFmtId="164" xfId="0" applyAlignment="1" applyBorder="1" applyFont="1" applyNumberFormat="1">
      <alignment horizontal="center" readingOrder="0"/>
    </xf>
    <xf borderId="4" fillId="0" fontId="6" numFmtId="164" xfId="0" applyAlignment="1" applyBorder="1" applyFont="1" applyNumberFormat="1">
      <alignment horizontal="center"/>
    </xf>
    <xf borderId="0" fillId="0" fontId="9" numFmtId="0" xfId="0" applyFont="1"/>
    <xf borderId="4" fillId="0" fontId="10" numFmtId="0" xfId="0" applyAlignment="1" applyBorder="1" applyFont="1">
      <alignment horizontal="center" readingOrder="0" shrinkToFit="0" vertical="center" wrapText="0"/>
    </xf>
    <xf borderId="0" fillId="4" fontId="11" numFmtId="0" xfId="0" applyAlignment="1" applyFill="1" applyFont="1">
      <alignment horizontal="center" shrinkToFit="0" vertical="center" wrapText="0"/>
    </xf>
    <xf borderId="0" fillId="4" fontId="6" numFmtId="164" xfId="0" applyAlignment="1" applyFont="1" applyNumberFormat="1">
      <alignment horizontal="center" shrinkToFit="0" vertical="center" wrapText="0"/>
    </xf>
    <xf borderId="0" fillId="4" fontId="7" numFmtId="164" xfId="0" applyAlignment="1" applyFont="1" applyNumberFormat="1">
      <alignment horizontal="center" shrinkToFit="0" vertical="center" wrapText="0"/>
    </xf>
    <xf borderId="0" fillId="2" fontId="11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2" fontId="11" numFmtId="4" xfId="0" applyAlignment="1" applyFont="1" applyNumberForma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horizontal="center" readingOrder="0"/>
    </xf>
    <xf borderId="4" fillId="0" fontId="5" numFmtId="165" xfId="0" applyAlignment="1" applyBorder="1" applyFont="1" applyNumberFormat="1">
      <alignment horizontal="center" readingOrder="0" vertical="bottom"/>
    </xf>
    <xf borderId="4" fillId="0" fontId="6" numFmtId="164" xfId="0" applyAlignment="1" applyBorder="1" applyFont="1" applyNumberFormat="1">
      <alignment horizontal="center" vertical="bottom"/>
    </xf>
    <xf borderId="4" fillId="0" fontId="9" numFmtId="164" xfId="0" applyAlignment="1" applyBorder="1" applyFont="1" applyNumberFormat="1">
      <alignment vertical="bottom"/>
    </xf>
    <xf borderId="4" fillId="0" fontId="5" numFmtId="164" xfId="0" applyAlignment="1" applyBorder="1" applyFont="1" applyNumberFormat="1">
      <alignment horizontal="center" vertical="bottom"/>
    </xf>
    <xf borderId="4" fillId="0" fontId="5" numFmtId="166" xfId="0" applyAlignment="1" applyBorder="1" applyFont="1" applyNumberFormat="1">
      <alignment horizontal="center" readingOrder="0" vertical="bottom"/>
    </xf>
    <xf borderId="4" fillId="0" fontId="7" numFmtId="164" xfId="0" applyAlignment="1" applyBorder="1" applyFont="1" applyNumberFormat="1">
      <alignment horizontal="center" vertical="bottom"/>
    </xf>
    <xf borderId="4" fillId="0" fontId="6" numFmtId="164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7" numFmtId="164" xfId="0" applyAlignment="1" applyBorder="1" applyFont="1" applyNumberFormat="1">
      <alignment horizontal="center" readingOrder="0" vertical="bottom"/>
    </xf>
    <xf borderId="4" fillId="0" fontId="5" numFmtId="166" xfId="0" applyAlignment="1" applyBorder="1" applyFont="1" applyNumberFormat="1">
      <alignment horizontal="center" readingOrder="0"/>
    </xf>
    <xf borderId="4" fillId="0" fontId="10" numFmtId="0" xfId="0" applyAlignment="1" applyBorder="1" applyFont="1">
      <alignment horizontal="center" vertical="bottom"/>
    </xf>
    <xf borderId="0" fillId="4" fontId="11" numFmtId="164" xfId="0" applyAlignment="1" applyFont="1" applyNumberFormat="1">
      <alignment horizontal="center" readingOrder="0" shrinkToFit="0" vertical="center" wrapText="0"/>
    </xf>
    <xf borderId="0" fillId="2" fontId="1" numFmtId="4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4" fillId="0" fontId="10" numFmtId="0" xfId="0" applyAlignment="1" applyBorder="1" applyFont="1">
      <alignment horizontal="center" readingOrder="0" vertical="bottom"/>
    </xf>
    <xf borderId="2" fillId="2" fontId="12" numFmtId="0" xfId="0" applyAlignment="1" applyBorder="1" applyFont="1">
      <alignment horizontal="center" readingOrder="0"/>
    </xf>
    <xf borderId="0" fillId="3" fontId="4" numFmtId="0" xfId="0" applyAlignment="1" applyFont="1">
      <alignment horizontal="center"/>
    </xf>
    <xf borderId="4" fillId="3" fontId="4" numFmtId="0" xfId="0" applyAlignment="1" applyBorder="1" applyFont="1">
      <alignment horizontal="center"/>
    </xf>
    <xf borderId="4" fillId="3" fontId="4" numFmtId="4" xfId="0" applyAlignment="1" applyBorder="1" applyFont="1" applyNumberFormat="1">
      <alignment horizontal="center"/>
    </xf>
    <xf borderId="4" fillId="2" fontId="9" numFmtId="0" xfId="0" applyAlignment="1" applyBorder="1" applyFont="1">
      <alignment horizontal="center"/>
    </xf>
    <xf borderId="2" fillId="2" fontId="12" numFmtId="0" xfId="0" applyAlignment="1" applyBorder="1" applyFont="1">
      <alignment horizontal="right"/>
    </xf>
    <xf borderId="4" fillId="2" fontId="12" numFmtId="164" xfId="0" applyAlignment="1" applyBorder="1" applyFont="1" applyNumberFormat="1">
      <alignment horizontal="center"/>
    </xf>
    <xf borderId="4" fillId="2" fontId="5" numFmtId="164" xfId="0" applyAlignment="1" applyBorder="1" applyFont="1" applyNumberFormat="1">
      <alignment horizontal="center" vertical="bottom"/>
    </xf>
    <xf borderId="4" fillId="0" fontId="6" numFmtId="164" xfId="0" applyAlignment="1" applyBorder="1" applyFont="1" applyNumberFormat="1">
      <alignment horizontal="center" readingOrder="0" vertical="bottom"/>
    </xf>
    <xf borderId="4" fillId="0" fontId="9" numFmtId="164" xfId="0" applyAlignment="1" applyBorder="1" applyFont="1" applyNumberFormat="1">
      <alignment vertical="bottom"/>
    </xf>
    <xf borderId="4" fillId="0" fontId="6" numFmtId="164" xfId="0" applyAlignment="1" applyBorder="1" applyFont="1" applyNumberFormat="1">
      <alignment horizontal="center" vertical="bottom"/>
    </xf>
    <xf borderId="4" fillId="0" fontId="5" numFmtId="164" xfId="0" applyAlignment="1" applyBorder="1" applyFont="1" applyNumberFormat="1">
      <alignment horizontal="center" readingOrder="0" vertical="bottom"/>
    </xf>
    <xf borderId="4" fillId="0" fontId="6" numFmtId="164" xfId="0" applyAlignment="1" applyBorder="1" applyFont="1" applyNumberFormat="1">
      <alignment horizontal="center"/>
    </xf>
    <xf borderId="4" fillId="0" fontId="9" numFmtId="164" xfId="0" applyBorder="1" applyFont="1" applyNumberFormat="1"/>
    <xf borderId="4" fillId="0" fontId="7" numFmtId="164" xfId="0" applyAlignment="1" applyBorder="1" applyFont="1" applyNumberFormat="1">
      <alignment horizontal="center" vertical="bottom"/>
    </xf>
    <xf borderId="0" fillId="4" fontId="9" numFmtId="0" xfId="0" applyAlignment="1" applyFont="1">
      <alignment horizontal="center"/>
    </xf>
    <xf borderId="0" fillId="4" fontId="6" numFmtId="164" xfId="0" applyAlignment="1" applyFont="1" applyNumberFormat="1">
      <alignment horizontal="center"/>
    </xf>
    <xf borderId="0" fillId="4" fontId="7" numFmtId="164" xfId="0" applyAlignment="1" applyFont="1" applyNumberFormat="1">
      <alignment horizontal="center"/>
    </xf>
    <xf borderId="0" fillId="4" fontId="3" numFmtId="164" xfId="0" applyAlignment="1" applyFont="1" applyNumberFormat="1">
      <alignment horizontal="center"/>
    </xf>
    <xf borderId="0" fillId="2" fontId="9" numFmtId="0" xfId="0" applyAlignment="1" applyFont="1">
      <alignment horizontal="center"/>
    </xf>
    <xf borderId="0" fillId="0" fontId="9" numFmtId="0" xfId="0" applyFont="1"/>
    <xf borderId="0" fillId="2" fontId="9" numFmtId="4" xfId="0" applyFont="1" applyNumberFormat="1"/>
    <xf borderId="4" fillId="2" fontId="5" numFmtId="164" xfId="0" applyAlignment="1" applyBorder="1" applyFont="1" applyNumberFormat="1">
      <alignment horizontal="center"/>
    </xf>
    <xf borderId="4" fillId="0" fontId="6" numFmtId="164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/>
    </xf>
    <xf borderId="4" fillId="0" fontId="9" numFmtId="166" xfId="0" applyAlignment="1" applyBorder="1" applyFont="1" applyNumberFormat="1">
      <alignment horizontal="center" vertical="bottom"/>
    </xf>
    <xf borderId="4" fillId="0" fontId="9" numFmtId="166" xfId="0" applyAlignment="1" applyBorder="1" applyFont="1" applyNumberFormat="1">
      <alignment horizontal="center"/>
    </xf>
    <xf borderId="4" fillId="2" fontId="9" numFmtId="0" xfId="0" applyBorder="1" applyFont="1"/>
    <xf borderId="4" fillId="0" fontId="9" numFmtId="0" xfId="0" applyBorder="1" applyFont="1"/>
    <xf borderId="4" fillId="0" fontId="9" numFmtId="0" xfId="0" applyAlignment="1" applyBorder="1" applyFont="1">
      <alignment vertical="bottom"/>
    </xf>
    <xf borderId="0" fillId="4" fontId="9" numFmtId="0" xfId="0" applyFont="1"/>
    <xf borderId="0" fillId="2" fontId="9" numFmtId="0" xfId="0" applyFon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13"/>
    <col customWidth="1" min="2" max="2" width="24.13"/>
    <col customWidth="1" min="3" max="3" width="30.38"/>
    <col customWidth="1" min="4" max="4" width="46.63"/>
    <col customWidth="1" min="5" max="27" width="30.38"/>
  </cols>
  <sheetData>
    <row r="1" ht="30.75" customHeight="1">
      <c r="B1" s="1"/>
      <c r="C1" s="2" t="s">
        <v>0</v>
      </c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C3" s="9" t="s">
        <v>8</v>
      </c>
      <c r="D3" s="3"/>
      <c r="E3" s="3"/>
      <c r="F3" s="4"/>
      <c r="G3" s="10">
        <v>13424.55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 t="s">
        <v>9</v>
      </c>
      <c r="B4" s="12">
        <v>45933.0</v>
      </c>
      <c r="C4" s="11" t="s">
        <v>10</v>
      </c>
      <c r="D4" s="11" t="s">
        <v>11</v>
      </c>
      <c r="E4" s="13"/>
      <c r="F4" s="14">
        <v>1776.64</v>
      </c>
      <c r="G4" s="15">
        <f t="shared" ref="G4:G39" si="1">G3+F4-E4</f>
        <v>15201.19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1" t="s">
        <v>9</v>
      </c>
      <c r="B5" s="12">
        <v>45933.0</v>
      </c>
      <c r="C5" s="11" t="s">
        <v>12</v>
      </c>
      <c r="D5" s="11" t="s">
        <v>13</v>
      </c>
      <c r="E5" s="16">
        <v>139.94</v>
      </c>
      <c r="F5" s="17"/>
      <c r="G5" s="15">
        <f t="shared" si="1"/>
        <v>15061.25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1" t="s">
        <v>9</v>
      </c>
      <c r="B6" s="12">
        <v>45933.0</v>
      </c>
      <c r="C6" s="11" t="s">
        <v>14</v>
      </c>
      <c r="D6" s="11" t="s">
        <v>14</v>
      </c>
      <c r="E6" s="16">
        <v>20.0</v>
      </c>
      <c r="F6" s="18"/>
      <c r="G6" s="15">
        <f t="shared" si="1"/>
        <v>15041.25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1" t="s">
        <v>9</v>
      </c>
      <c r="B7" s="12">
        <v>45935.0</v>
      </c>
      <c r="C7" s="11" t="s">
        <v>15</v>
      </c>
      <c r="D7" s="11" t="s">
        <v>16</v>
      </c>
      <c r="E7" s="16">
        <v>1417.5</v>
      </c>
      <c r="F7" s="18"/>
      <c r="G7" s="15">
        <f t="shared" si="1"/>
        <v>13623.75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1" t="s">
        <v>9</v>
      </c>
      <c r="B8" s="12">
        <v>45935.0</v>
      </c>
      <c r="C8" s="11" t="s">
        <v>15</v>
      </c>
      <c r="D8" s="11" t="s">
        <v>17</v>
      </c>
      <c r="E8" s="16">
        <v>531.66</v>
      </c>
      <c r="F8" s="18"/>
      <c r="G8" s="15">
        <f t="shared" si="1"/>
        <v>13092.09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1" t="s">
        <v>9</v>
      </c>
      <c r="B9" s="12">
        <v>45937.0</v>
      </c>
      <c r="C9" s="11" t="s">
        <v>10</v>
      </c>
      <c r="D9" s="11" t="s">
        <v>11</v>
      </c>
      <c r="E9" s="16"/>
      <c r="F9" s="14">
        <v>972.16</v>
      </c>
      <c r="G9" s="15">
        <f t="shared" si="1"/>
        <v>14064.25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1" t="s">
        <v>9</v>
      </c>
      <c r="B10" s="12">
        <v>45937.0</v>
      </c>
      <c r="C10" s="11" t="s">
        <v>12</v>
      </c>
      <c r="D10" s="11" t="s">
        <v>18</v>
      </c>
      <c r="E10" s="16">
        <v>350.0</v>
      </c>
      <c r="F10" s="18"/>
      <c r="G10" s="15">
        <f t="shared" si="1"/>
        <v>13714.25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1" t="s">
        <v>9</v>
      </c>
      <c r="B11" s="12">
        <v>45937.0</v>
      </c>
      <c r="C11" s="11" t="s">
        <v>19</v>
      </c>
      <c r="D11" s="11" t="s">
        <v>20</v>
      </c>
      <c r="E11" s="19">
        <v>1000.0</v>
      </c>
      <c r="F11" s="18"/>
      <c r="G11" s="15">
        <f t="shared" si="1"/>
        <v>12714.25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1" t="s">
        <v>9</v>
      </c>
      <c r="B12" s="12">
        <v>45938.0</v>
      </c>
      <c r="C12" s="11" t="s">
        <v>14</v>
      </c>
      <c r="D12" s="11" t="s">
        <v>14</v>
      </c>
      <c r="E12" s="19">
        <v>50.0</v>
      </c>
      <c r="F12" s="18"/>
      <c r="G12" s="15">
        <f t="shared" si="1"/>
        <v>12664.25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1" t="s">
        <v>9</v>
      </c>
      <c r="B13" s="12">
        <v>45938.0</v>
      </c>
      <c r="C13" s="11" t="s">
        <v>10</v>
      </c>
      <c r="D13" s="11" t="s">
        <v>11</v>
      </c>
      <c r="E13" s="19"/>
      <c r="F13" s="14">
        <v>756.88</v>
      </c>
      <c r="G13" s="15">
        <f t="shared" si="1"/>
        <v>13421.13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1" t="s">
        <v>9</v>
      </c>
      <c r="B14" s="12">
        <v>45939.0</v>
      </c>
      <c r="C14" s="11" t="s">
        <v>10</v>
      </c>
      <c r="D14" s="11" t="s">
        <v>11</v>
      </c>
      <c r="E14" s="19"/>
      <c r="F14" s="14">
        <v>612.82</v>
      </c>
      <c r="G14" s="15">
        <f t="shared" si="1"/>
        <v>14033.95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1" t="s">
        <v>9</v>
      </c>
      <c r="B15" s="12">
        <v>45940.0</v>
      </c>
      <c r="C15" s="11" t="s">
        <v>15</v>
      </c>
      <c r="D15" s="11" t="s">
        <v>21</v>
      </c>
      <c r="E15" s="16">
        <v>2703.42</v>
      </c>
      <c r="F15" s="14"/>
      <c r="G15" s="15">
        <f t="shared" si="1"/>
        <v>11330.53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1" t="s">
        <v>9</v>
      </c>
      <c r="B16" s="20">
        <v>45940.0</v>
      </c>
      <c r="C16" s="11" t="s">
        <v>22</v>
      </c>
      <c r="D16" s="11" t="s">
        <v>23</v>
      </c>
      <c r="E16" s="13"/>
      <c r="F16" s="14">
        <v>2246.82</v>
      </c>
      <c r="G16" s="15">
        <f t="shared" si="1"/>
        <v>13577.35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1" t="s">
        <v>9</v>
      </c>
      <c r="B17" s="20">
        <v>45940.0</v>
      </c>
      <c r="C17" s="11" t="s">
        <v>15</v>
      </c>
      <c r="D17" s="11" t="s">
        <v>24</v>
      </c>
      <c r="E17" s="16">
        <v>2246.82</v>
      </c>
      <c r="F17" s="18"/>
      <c r="G17" s="15">
        <f t="shared" si="1"/>
        <v>11330.53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1" t="s">
        <v>9</v>
      </c>
      <c r="B18" s="22">
        <v>45940.0</v>
      </c>
      <c r="C18" s="23" t="s">
        <v>10</v>
      </c>
      <c r="D18" s="23" t="s">
        <v>25</v>
      </c>
      <c r="E18" s="24"/>
      <c r="F18" s="25">
        <v>788.16</v>
      </c>
      <c r="G18" s="15">
        <f t="shared" si="1"/>
        <v>12118.69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1" t="s">
        <v>9</v>
      </c>
      <c r="B19" s="26">
        <v>45943.0</v>
      </c>
      <c r="C19" s="23" t="s">
        <v>10</v>
      </c>
      <c r="D19" s="11" t="s">
        <v>11</v>
      </c>
      <c r="E19" s="24"/>
      <c r="F19" s="27">
        <v>638.62</v>
      </c>
      <c r="G19" s="15">
        <f t="shared" si="1"/>
        <v>12757.31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1" t="s">
        <v>9</v>
      </c>
      <c r="B20" s="20">
        <v>45943.0</v>
      </c>
      <c r="C20" s="11" t="s">
        <v>26</v>
      </c>
      <c r="D20" s="11" t="s">
        <v>27</v>
      </c>
      <c r="E20" s="16">
        <v>64.42</v>
      </c>
      <c r="F20" s="18"/>
      <c r="G20" s="15">
        <f t="shared" si="1"/>
        <v>12692.89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1" t="s">
        <v>9</v>
      </c>
      <c r="B21" s="20">
        <v>45945.0</v>
      </c>
      <c r="C21" s="23" t="s">
        <v>10</v>
      </c>
      <c r="D21" s="11" t="s">
        <v>11</v>
      </c>
      <c r="E21" s="16"/>
      <c r="F21" s="14">
        <v>2094.61</v>
      </c>
      <c r="G21" s="15">
        <f t="shared" si="1"/>
        <v>14787.5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3" t="s">
        <v>9</v>
      </c>
      <c r="B22" s="21">
        <v>45947.0</v>
      </c>
      <c r="C22" s="23" t="s">
        <v>10</v>
      </c>
      <c r="D22" s="11" t="s">
        <v>11</v>
      </c>
      <c r="E22" s="28"/>
      <c r="F22" s="25">
        <v>852.54</v>
      </c>
      <c r="G22" s="15">
        <f t="shared" si="1"/>
        <v>15640.04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11" t="s">
        <v>9</v>
      </c>
      <c r="B23" s="20">
        <v>45947.0</v>
      </c>
      <c r="C23" s="11" t="s">
        <v>14</v>
      </c>
      <c r="D23" s="11" t="s">
        <v>14</v>
      </c>
      <c r="E23" s="16">
        <v>50.0</v>
      </c>
      <c r="F23" s="14"/>
      <c r="G23" s="15">
        <f t="shared" si="1"/>
        <v>15590.04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1" t="s">
        <v>9</v>
      </c>
      <c r="B24" s="20">
        <v>45948.0</v>
      </c>
      <c r="C24" s="11" t="s">
        <v>14</v>
      </c>
      <c r="D24" s="11" t="s">
        <v>14</v>
      </c>
      <c r="E24" s="16">
        <v>25.0</v>
      </c>
      <c r="F24" s="14"/>
      <c r="G24" s="15">
        <f t="shared" si="1"/>
        <v>15565.04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1" t="s">
        <v>9</v>
      </c>
      <c r="B25" s="20">
        <v>45948.0</v>
      </c>
      <c r="C25" s="23" t="s">
        <v>10</v>
      </c>
      <c r="D25" s="11" t="s">
        <v>11</v>
      </c>
      <c r="E25" s="16"/>
      <c r="F25" s="14">
        <v>1111.47</v>
      </c>
      <c r="G25" s="15">
        <f t="shared" si="1"/>
        <v>16676.51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1" t="s">
        <v>9</v>
      </c>
      <c r="B26" s="20">
        <v>45950.0</v>
      </c>
      <c r="C26" s="23" t="s">
        <v>10</v>
      </c>
      <c r="D26" s="11" t="s">
        <v>11</v>
      </c>
      <c r="E26" s="16"/>
      <c r="F26" s="14">
        <v>849.11</v>
      </c>
      <c r="G26" s="15">
        <f t="shared" si="1"/>
        <v>17525.62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1" t="s">
        <v>9</v>
      </c>
      <c r="B27" s="20">
        <v>45950.0</v>
      </c>
      <c r="C27" s="11" t="s">
        <v>28</v>
      </c>
      <c r="D27" s="30" t="s">
        <v>29</v>
      </c>
      <c r="E27" s="16">
        <v>629.06</v>
      </c>
      <c r="F27" s="18"/>
      <c r="G27" s="15">
        <f t="shared" si="1"/>
        <v>16896.56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1" t="s">
        <v>9</v>
      </c>
      <c r="B28" s="20">
        <v>45950.0</v>
      </c>
      <c r="C28" s="23" t="s">
        <v>10</v>
      </c>
      <c r="D28" s="11" t="s">
        <v>30</v>
      </c>
      <c r="E28" s="16"/>
      <c r="F28" s="14">
        <v>89.7</v>
      </c>
      <c r="G28" s="15">
        <f t="shared" si="1"/>
        <v>16986.26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1" t="s">
        <v>9</v>
      </c>
      <c r="B29" s="20">
        <v>45951.0</v>
      </c>
      <c r="C29" s="23" t="s">
        <v>10</v>
      </c>
      <c r="D29" s="11" t="s">
        <v>11</v>
      </c>
      <c r="E29" s="16"/>
      <c r="F29" s="14">
        <v>638.83</v>
      </c>
      <c r="G29" s="15">
        <f t="shared" si="1"/>
        <v>17625.09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1" t="s">
        <v>9</v>
      </c>
      <c r="B30" s="20">
        <v>45952.0</v>
      </c>
      <c r="C30" s="11" t="s">
        <v>15</v>
      </c>
      <c r="D30" s="11" t="s">
        <v>31</v>
      </c>
      <c r="E30" s="16">
        <v>1604.17</v>
      </c>
      <c r="F30" s="18"/>
      <c r="G30" s="15">
        <f t="shared" si="1"/>
        <v>16020.92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1" t="s">
        <v>9</v>
      </c>
      <c r="B31" s="20">
        <v>45952.0</v>
      </c>
      <c r="C31" s="11" t="s">
        <v>15</v>
      </c>
      <c r="D31" s="11" t="s">
        <v>32</v>
      </c>
      <c r="E31" s="16">
        <v>11100.0</v>
      </c>
      <c r="F31" s="18"/>
      <c r="G31" s="15">
        <f t="shared" si="1"/>
        <v>4920.92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1" t="s">
        <v>9</v>
      </c>
      <c r="B32" s="20">
        <v>45953.0</v>
      </c>
      <c r="C32" s="23" t="s">
        <v>10</v>
      </c>
      <c r="D32" s="11" t="s">
        <v>30</v>
      </c>
      <c r="E32" s="16"/>
      <c r="F32" s="14">
        <v>59.9</v>
      </c>
      <c r="G32" s="15">
        <f t="shared" si="1"/>
        <v>4980.82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1" t="s">
        <v>9</v>
      </c>
      <c r="B33" s="20">
        <v>45953.0</v>
      </c>
      <c r="C33" s="23" t="s">
        <v>10</v>
      </c>
      <c r="D33" s="11" t="s">
        <v>33</v>
      </c>
      <c r="E33" s="16"/>
      <c r="F33" s="14">
        <v>86.02</v>
      </c>
      <c r="G33" s="15">
        <f t="shared" si="1"/>
        <v>5066.84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1" t="s">
        <v>9</v>
      </c>
      <c r="B34" s="20">
        <v>45953.0</v>
      </c>
      <c r="C34" s="23" t="s">
        <v>10</v>
      </c>
      <c r="D34" s="11" t="s">
        <v>11</v>
      </c>
      <c r="E34" s="16"/>
      <c r="F34" s="14">
        <v>1141.02</v>
      </c>
      <c r="G34" s="15">
        <f t="shared" si="1"/>
        <v>6207.86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1" t="s">
        <v>9</v>
      </c>
      <c r="B35" s="20">
        <v>45958.0</v>
      </c>
      <c r="C35" s="23" t="s">
        <v>10</v>
      </c>
      <c r="D35" s="11" t="s">
        <v>11</v>
      </c>
      <c r="E35" s="16"/>
      <c r="F35" s="14">
        <v>1840.04</v>
      </c>
      <c r="G35" s="15">
        <f t="shared" si="1"/>
        <v>8047.9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1" t="s">
        <v>9</v>
      </c>
      <c r="B36" s="20">
        <v>45959.0</v>
      </c>
      <c r="C36" s="23" t="s">
        <v>10</v>
      </c>
      <c r="D36" s="11" t="s">
        <v>11</v>
      </c>
      <c r="E36" s="16"/>
      <c r="F36" s="14">
        <v>557.79</v>
      </c>
      <c r="G36" s="15">
        <f t="shared" si="1"/>
        <v>8605.69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1" t="s">
        <v>9</v>
      </c>
      <c r="B37" s="20">
        <v>45959.0</v>
      </c>
      <c r="C37" s="11" t="s">
        <v>15</v>
      </c>
      <c r="D37" s="11" t="s">
        <v>34</v>
      </c>
      <c r="E37" s="16">
        <v>875.0</v>
      </c>
      <c r="F37" s="18"/>
      <c r="G37" s="15">
        <f t="shared" si="1"/>
        <v>7730.69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11" t="s">
        <v>9</v>
      </c>
      <c r="B38" s="20">
        <v>45961.0</v>
      </c>
      <c r="C38" s="11" t="s">
        <v>14</v>
      </c>
      <c r="D38" s="11" t="s">
        <v>14</v>
      </c>
      <c r="E38" s="16">
        <v>100.0</v>
      </c>
      <c r="F38" s="14"/>
      <c r="G38" s="15">
        <f t="shared" si="1"/>
        <v>7630.69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11" t="s">
        <v>9</v>
      </c>
      <c r="B39" s="20">
        <v>45961.0</v>
      </c>
      <c r="C39" s="23" t="s">
        <v>10</v>
      </c>
      <c r="D39" s="23" t="s">
        <v>25</v>
      </c>
      <c r="E39" s="16"/>
      <c r="F39" s="14">
        <v>120.61</v>
      </c>
      <c r="G39" s="15">
        <f t="shared" si="1"/>
        <v>7751.3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31"/>
      <c r="B40" s="31"/>
      <c r="C40" s="31"/>
      <c r="D40" s="31"/>
      <c r="E40" s="32">
        <f>SUM(E4:E38)</f>
        <v>22906.99</v>
      </c>
      <c r="F40" s="33">
        <f>SUM(F4:F37)</f>
        <v>17113.13</v>
      </c>
      <c r="G40" s="33">
        <f>G39</f>
        <v>7751.3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34"/>
      <c r="B41" s="35"/>
      <c r="C41" s="35"/>
      <c r="D41" s="35"/>
      <c r="E41" s="36"/>
      <c r="F41" s="37"/>
      <c r="G41" s="3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</sheetData>
  <autoFilter ref="$A$2:$G$40"/>
  <mergeCells count="2">
    <mergeCell ref="C1:G1"/>
    <mergeCell ref="C3:F3"/>
  </mergeCells>
  <conditionalFormatting sqref="B4:B39">
    <cfRule type="expression" dxfId="0" priority="1">
      <formula>AND(B4&lt;=TODAY(), A4&lt;&gt;"OK")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13"/>
    <col customWidth="1" min="2" max="2" width="24.13"/>
    <col customWidth="1" min="3" max="3" width="30.38"/>
    <col customWidth="1" min="4" max="4" width="55.75"/>
    <col customWidth="1" min="5" max="27" width="30.38"/>
  </cols>
  <sheetData>
    <row r="1" ht="30.75" customHeight="1">
      <c r="A1" s="2" t="s">
        <v>35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9" t="s">
        <v>8</v>
      </c>
      <c r="C3" s="3"/>
      <c r="D3" s="3"/>
      <c r="E3" s="3"/>
      <c r="F3" s="4"/>
      <c r="G3" s="10">
        <f>Outubro!G40</f>
        <v>7751.3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 t="s">
        <v>9</v>
      </c>
      <c r="B4" s="20">
        <v>45962.0</v>
      </c>
      <c r="C4" s="23" t="s">
        <v>10</v>
      </c>
      <c r="D4" s="11" t="s">
        <v>11</v>
      </c>
      <c r="E4" s="16"/>
      <c r="F4" s="14">
        <v>988.54</v>
      </c>
      <c r="G4" s="15">
        <f t="shared" ref="G4:G68" si="1">G3+F4-E4</f>
        <v>8739.84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1" t="s">
        <v>9</v>
      </c>
      <c r="B5" s="20">
        <v>45963.0</v>
      </c>
      <c r="C5" s="23" t="s">
        <v>10</v>
      </c>
      <c r="D5" s="11" t="s">
        <v>25</v>
      </c>
      <c r="E5" s="16"/>
      <c r="F5" s="14">
        <v>348.52</v>
      </c>
      <c r="G5" s="15">
        <f t="shared" si="1"/>
        <v>9088.36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1" t="s">
        <v>9</v>
      </c>
      <c r="B6" s="20">
        <v>45964.0</v>
      </c>
      <c r="C6" s="23" t="s">
        <v>10</v>
      </c>
      <c r="D6" s="11" t="s">
        <v>11</v>
      </c>
      <c r="E6" s="16"/>
      <c r="F6" s="14">
        <v>833.32</v>
      </c>
      <c r="G6" s="15">
        <f t="shared" si="1"/>
        <v>9921.68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1" t="s">
        <v>9</v>
      </c>
      <c r="B7" s="20">
        <v>45964.0</v>
      </c>
      <c r="C7" s="23" t="s">
        <v>10</v>
      </c>
      <c r="D7" s="11" t="s">
        <v>11</v>
      </c>
      <c r="E7" s="16"/>
      <c r="F7" s="14">
        <v>219.88</v>
      </c>
      <c r="G7" s="15">
        <f t="shared" si="1"/>
        <v>10141.56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1" t="s">
        <v>9</v>
      </c>
      <c r="B8" s="20">
        <v>45964.0</v>
      </c>
      <c r="C8" s="11" t="s">
        <v>14</v>
      </c>
      <c r="D8" s="11" t="s">
        <v>14</v>
      </c>
      <c r="E8" s="16">
        <v>100.0</v>
      </c>
      <c r="F8" s="14"/>
      <c r="G8" s="15">
        <f t="shared" si="1"/>
        <v>10041.56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3" t="s">
        <v>9</v>
      </c>
      <c r="B9" s="26">
        <v>45966.0</v>
      </c>
      <c r="C9" s="23" t="s">
        <v>10</v>
      </c>
      <c r="D9" s="23" t="s">
        <v>11</v>
      </c>
      <c r="E9" s="24"/>
      <c r="F9" s="27">
        <v>1000.0</v>
      </c>
      <c r="G9" s="15">
        <f t="shared" si="1"/>
        <v>11041.56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1" t="s">
        <v>36</v>
      </c>
      <c r="B10" s="26">
        <v>45966.0</v>
      </c>
      <c r="C10" s="23" t="s">
        <v>15</v>
      </c>
      <c r="D10" s="39" t="s">
        <v>37</v>
      </c>
      <c r="E10" s="28">
        <v>1417.5</v>
      </c>
      <c r="F10" s="24"/>
      <c r="G10" s="15">
        <f t="shared" si="1"/>
        <v>9624.06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1" t="s">
        <v>9</v>
      </c>
      <c r="B11" s="26">
        <v>45966.0</v>
      </c>
      <c r="C11" s="23" t="s">
        <v>15</v>
      </c>
      <c r="D11" s="39" t="s">
        <v>38</v>
      </c>
      <c r="E11" s="28">
        <v>531.66</v>
      </c>
      <c r="F11" s="24"/>
      <c r="G11" s="15">
        <f t="shared" si="1"/>
        <v>9092.4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1" t="s">
        <v>9</v>
      </c>
      <c r="B12" s="26">
        <v>45968.0</v>
      </c>
      <c r="C12" s="23" t="s">
        <v>10</v>
      </c>
      <c r="D12" s="23" t="s">
        <v>11</v>
      </c>
      <c r="E12" s="28"/>
      <c r="F12" s="27">
        <v>1200.0</v>
      </c>
      <c r="G12" s="15">
        <f t="shared" si="1"/>
        <v>10292.4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1" t="s">
        <v>9</v>
      </c>
      <c r="B13" s="26">
        <v>45968.0</v>
      </c>
      <c r="C13" s="40" t="s">
        <v>12</v>
      </c>
      <c r="D13" s="39" t="s">
        <v>39</v>
      </c>
      <c r="E13" s="41">
        <v>149.0</v>
      </c>
      <c r="F13" s="27"/>
      <c r="G13" s="15">
        <f t="shared" si="1"/>
        <v>10143.4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1" t="s">
        <v>9</v>
      </c>
      <c r="B14" s="26">
        <v>45968.0</v>
      </c>
      <c r="C14" s="23" t="s">
        <v>15</v>
      </c>
      <c r="D14" s="39" t="s">
        <v>40</v>
      </c>
      <c r="E14" s="41">
        <v>801.66</v>
      </c>
      <c r="F14" s="24"/>
      <c r="G14" s="15">
        <f t="shared" si="1"/>
        <v>9341.74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1" t="s">
        <v>9</v>
      </c>
      <c r="B15" s="42">
        <v>45968.0</v>
      </c>
      <c r="C15" s="40" t="s">
        <v>12</v>
      </c>
      <c r="D15" s="40" t="s">
        <v>18</v>
      </c>
      <c r="E15" s="43">
        <v>350.0</v>
      </c>
      <c r="F15" s="44"/>
      <c r="G15" s="15">
        <f t="shared" si="1"/>
        <v>8991.74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1" t="s">
        <v>9</v>
      </c>
      <c r="B16" s="42">
        <v>45968.0</v>
      </c>
      <c r="C16" s="40" t="s">
        <v>19</v>
      </c>
      <c r="D16" s="40" t="s">
        <v>20</v>
      </c>
      <c r="E16" s="45">
        <v>1000.0</v>
      </c>
      <c r="F16" s="44"/>
      <c r="G16" s="15">
        <f t="shared" si="1"/>
        <v>7991.74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1" t="s">
        <v>9</v>
      </c>
      <c r="B17" s="42">
        <v>45968.0</v>
      </c>
      <c r="C17" s="40" t="s">
        <v>10</v>
      </c>
      <c r="D17" s="11" t="s">
        <v>25</v>
      </c>
      <c r="E17" s="24"/>
      <c r="F17" s="27">
        <v>199.47</v>
      </c>
      <c r="G17" s="15">
        <f t="shared" si="1"/>
        <v>8191.21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11" t="s">
        <v>9</v>
      </c>
      <c r="B18" s="26">
        <v>45969.0</v>
      </c>
      <c r="C18" s="23" t="s">
        <v>10</v>
      </c>
      <c r="D18" s="11" t="s">
        <v>11</v>
      </c>
      <c r="E18" s="16"/>
      <c r="F18" s="14">
        <v>1200.0</v>
      </c>
      <c r="G18" s="15">
        <f t="shared" si="1"/>
        <v>9391.21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1" t="s">
        <v>9</v>
      </c>
      <c r="B19" s="26">
        <v>45969.0</v>
      </c>
      <c r="C19" s="23" t="s">
        <v>10</v>
      </c>
      <c r="D19" s="11" t="s">
        <v>11</v>
      </c>
      <c r="E19" s="16"/>
      <c r="F19" s="14">
        <v>1400.0</v>
      </c>
      <c r="G19" s="15">
        <f t="shared" si="1"/>
        <v>10791.21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1" t="s">
        <v>9</v>
      </c>
      <c r="B20" s="26">
        <v>45969.0</v>
      </c>
      <c r="C20" s="23" t="s">
        <v>10</v>
      </c>
      <c r="D20" s="11" t="s">
        <v>11</v>
      </c>
      <c r="E20" s="16"/>
      <c r="F20" s="14">
        <v>1200.0</v>
      </c>
      <c r="G20" s="15">
        <f t="shared" si="1"/>
        <v>11991.21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1" t="s">
        <v>9</v>
      </c>
      <c r="B21" s="26">
        <v>45971.0</v>
      </c>
      <c r="C21" s="23" t="s">
        <v>10</v>
      </c>
      <c r="D21" s="11" t="s">
        <v>11</v>
      </c>
      <c r="E21" s="16"/>
      <c r="F21" s="14">
        <v>1200.0</v>
      </c>
      <c r="G21" s="15">
        <f t="shared" si="1"/>
        <v>13191.21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1" t="s">
        <v>9</v>
      </c>
      <c r="B22" s="12">
        <v>45970.0</v>
      </c>
      <c r="C22" s="11" t="s">
        <v>15</v>
      </c>
      <c r="D22" s="11" t="s">
        <v>41</v>
      </c>
      <c r="E22" s="16">
        <v>901.14</v>
      </c>
      <c r="F22" s="14"/>
      <c r="G22" s="15">
        <f t="shared" si="1"/>
        <v>12290.07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1" t="s">
        <v>9</v>
      </c>
      <c r="B23" s="46">
        <v>45971.0</v>
      </c>
      <c r="C23" s="40" t="s">
        <v>22</v>
      </c>
      <c r="D23" s="40" t="s">
        <v>23</v>
      </c>
      <c r="E23" s="44"/>
      <c r="F23" s="47">
        <v>2246.82</v>
      </c>
      <c r="G23" s="15">
        <f t="shared" si="1"/>
        <v>14536.89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1" t="s">
        <v>9</v>
      </c>
      <c r="B24" s="46">
        <v>45971.0</v>
      </c>
      <c r="C24" s="40" t="s">
        <v>15</v>
      </c>
      <c r="D24" s="40" t="s">
        <v>24</v>
      </c>
      <c r="E24" s="43">
        <v>2246.82</v>
      </c>
      <c r="F24" s="44"/>
      <c r="G24" s="15">
        <f t="shared" si="1"/>
        <v>12290.07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1" t="s">
        <v>9</v>
      </c>
      <c r="B25" s="42">
        <v>45971.0</v>
      </c>
      <c r="C25" s="40" t="s">
        <v>10</v>
      </c>
      <c r="D25" s="11" t="s">
        <v>25</v>
      </c>
      <c r="E25" s="24"/>
      <c r="F25" s="27">
        <v>625.12</v>
      </c>
      <c r="G25" s="15">
        <f t="shared" si="1"/>
        <v>12915.19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11" t="s">
        <v>9</v>
      </c>
      <c r="B26" s="46">
        <v>45972.0</v>
      </c>
      <c r="C26" s="23" t="s">
        <v>10</v>
      </c>
      <c r="D26" s="11" t="s">
        <v>11</v>
      </c>
      <c r="E26" s="48"/>
      <c r="F26" s="27">
        <v>1300.0</v>
      </c>
      <c r="G26" s="15">
        <f t="shared" si="1"/>
        <v>14215.19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1" t="s">
        <v>9</v>
      </c>
      <c r="B27" s="42">
        <v>45972.0</v>
      </c>
      <c r="C27" s="40" t="s">
        <v>12</v>
      </c>
      <c r="D27" s="49" t="s">
        <v>42</v>
      </c>
      <c r="E27" s="48">
        <v>141.93</v>
      </c>
      <c r="F27" s="27"/>
      <c r="G27" s="15">
        <f t="shared" si="1"/>
        <v>14073.26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1" t="s">
        <v>9</v>
      </c>
      <c r="B28" s="46">
        <v>45974.0</v>
      </c>
      <c r="C28" s="40" t="s">
        <v>26</v>
      </c>
      <c r="D28" s="49" t="s">
        <v>43</v>
      </c>
      <c r="E28" s="48">
        <v>66.96</v>
      </c>
      <c r="F28" s="44"/>
      <c r="G28" s="15">
        <f t="shared" si="1"/>
        <v>14006.3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1" t="s">
        <v>9</v>
      </c>
      <c r="B29" s="42">
        <v>45973.0</v>
      </c>
      <c r="C29" s="40" t="s">
        <v>10</v>
      </c>
      <c r="D29" s="11" t="s">
        <v>25</v>
      </c>
      <c r="E29" s="24"/>
      <c r="F29" s="27">
        <v>430.52</v>
      </c>
      <c r="G29" s="15">
        <f t="shared" si="1"/>
        <v>14436.82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1" t="s">
        <v>9</v>
      </c>
      <c r="B30" s="46">
        <v>45974.0</v>
      </c>
      <c r="C30" s="23" t="s">
        <v>10</v>
      </c>
      <c r="D30" s="11" t="s">
        <v>11</v>
      </c>
      <c r="E30" s="48"/>
      <c r="F30" s="27">
        <v>1800.0</v>
      </c>
      <c r="G30" s="15">
        <f t="shared" si="1"/>
        <v>16236.82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3" t="s">
        <v>9</v>
      </c>
      <c r="B31" s="46">
        <v>45975.0</v>
      </c>
      <c r="C31" s="40" t="s">
        <v>10</v>
      </c>
      <c r="D31" s="23" t="s">
        <v>11</v>
      </c>
      <c r="E31" s="44"/>
      <c r="F31" s="50">
        <v>1200.0</v>
      </c>
      <c r="G31" s="15">
        <f t="shared" si="1"/>
        <v>17436.82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3" t="s">
        <v>9</v>
      </c>
      <c r="B32" s="46">
        <v>45976.0</v>
      </c>
      <c r="C32" s="23" t="s">
        <v>15</v>
      </c>
      <c r="D32" s="39" t="s">
        <v>44</v>
      </c>
      <c r="E32" s="48">
        <v>1195.83</v>
      </c>
      <c r="F32" s="44"/>
      <c r="G32" s="15">
        <f t="shared" si="1"/>
        <v>16240.99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3" t="s">
        <v>9</v>
      </c>
      <c r="B33" s="46">
        <v>45976.0</v>
      </c>
      <c r="C33" s="40" t="s">
        <v>10</v>
      </c>
      <c r="D33" s="11" t="s">
        <v>25</v>
      </c>
      <c r="E33" s="44"/>
      <c r="F33" s="50">
        <v>337.03</v>
      </c>
      <c r="G33" s="15">
        <f t="shared" si="1"/>
        <v>16578.02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3" t="s">
        <v>9</v>
      </c>
      <c r="B34" s="46">
        <v>45977.0</v>
      </c>
      <c r="C34" s="40" t="s">
        <v>10</v>
      </c>
      <c r="D34" s="23" t="s">
        <v>11</v>
      </c>
      <c r="E34" s="44"/>
      <c r="F34" s="50">
        <v>1200.0</v>
      </c>
      <c r="G34" s="15">
        <f t="shared" si="1"/>
        <v>17778.02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40" t="s">
        <v>9</v>
      </c>
      <c r="B35" s="46">
        <v>45977.0</v>
      </c>
      <c r="C35" s="40" t="s">
        <v>10</v>
      </c>
      <c r="D35" s="11" t="s">
        <v>25</v>
      </c>
      <c r="E35" s="44"/>
      <c r="F35" s="50">
        <v>526.81</v>
      </c>
      <c r="G35" s="15">
        <f t="shared" si="1"/>
        <v>18304.83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3" t="s">
        <v>9</v>
      </c>
      <c r="B36" s="46">
        <v>45978.0</v>
      </c>
      <c r="C36" s="40" t="s">
        <v>10</v>
      </c>
      <c r="D36" s="23" t="s">
        <v>11</v>
      </c>
      <c r="E36" s="44"/>
      <c r="F36" s="50">
        <v>1600.0</v>
      </c>
      <c r="G36" s="15">
        <f t="shared" si="1"/>
        <v>19904.83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40" t="s">
        <v>9</v>
      </c>
      <c r="B37" s="46">
        <v>45978.0</v>
      </c>
      <c r="C37" s="40" t="s">
        <v>10</v>
      </c>
      <c r="D37" s="11" t="s">
        <v>25</v>
      </c>
      <c r="E37" s="44"/>
      <c r="F37" s="50">
        <v>252.61</v>
      </c>
      <c r="G37" s="15">
        <f t="shared" si="1"/>
        <v>20157.44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39" t="s">
        <v>9</v>
      </c>
      <c r="B38" s="51">
        <v>45979.0</v>
      </c>
      <c r="C38" s="23" t="s">
        <v>15</v>
      </c>
      <c r="D38" s="39" t="s">
        <v>45</v>
      </c>
      <c r="E38" s="41">
        <v>595.38</v>
      </c>
      <c r="F38" s="24"/>
      <c r="G38" s="15">
        <f t="shared" si="1"/>
        <v>19562.06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0" t="s">
        <v>9</v>
      </c>
      <c r="B39" s="46">
        <v>45979.0</v>
      </c>
      <c r="C39" s="40" t="s">
        <v>10</v>
      </c>
      <c r="D39" s="23" t="s">
        <v>11</v>
      </c>
      <c r="E39" s="44"/>
      <c r="F39" s="50">
        <v>1100.0</v>
      </c>
      <c r="G39" s="15">
        <f t="shared" si="1"/>
        <v>20662.06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40" t="s">
        <v>9</v>
      </c>
      <c r="B40" s="46">
        <v>45979.0</v>
      </c>
      <c r="C40" s="40" t="s">
        <v>10</v>
      </c>
      <c r="D40" s="11" t="s">
        <v>25</v>
      </c>
      <c r="E40" s="44"/>
      <c r="F40" s="50">
        <v>231.09</v>
      </c>
      <c r="G40" s="15">
        <f t="shared" si="1"/>
        <v>20893.15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40" t="s">
        <v>9</v>
      </c>
      <c r="B41" s="46">
        <v>45980.0</v>
      </c>
      <c r="C41" s="40" t="s">
        <v>10</v>
      </c>
      <c r="D41" s="23" t="s">
        <v>11</v>
      </c>
      <c r="E41" s="44"/>
      <c r="F41" s="50">
        <v>1100.0</v>
      </c>
      <c r="G41" s="15">
        <f t="shared" si="1"/>
        <v>21993.15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40" t="s">
        <v>9</v>
      </c>
      <c r="B42" s="46">
        <v>45980.0</v>
      </c>
      <c r="C42" s="40" t="s">
        <v>10</v>
      </c>
      <c r="D42" s="23" t="s">
        <v>11</v>
      </c>
      <c r="E42" s="44"/>
      <c r="F42" s="50">
        <v>1300.0</v>
      </c>
      <c r="G42" s="15">
        <f t="shared" si="1"/>
        <v>23293.15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40" t="s">
        <v>9</v>
      </c>
      <c r="B43" s="46">
        <v>45980.0</v>
      </c>
      <c r="C43" s="40" t="s">
        <v>28</v>
      </c>
      <c r="D43" s="52" t="s">
        <v>46</v>
      </c>
      <c r="E43" s="48">
        <v>1212.2</v>
      </c>
      <c r="F43" s="44"/>
      <c r="G43" s="15">
        <f t="shared" si="1"/>
        <v>22080.95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40" t="s">
        <v>9</v>
      </c>
      <c r="B44" s="46">
        <v>45980.0</v>
      </c>
      <c r="C44" s="40" t="s">
        <v>28</v>
      </c>
      <c r="D44" s="52" t="s">
        <v>46</v>
      </c>
      <c r="E44" s="48">
        <v>286.09</v>
      </c>
      <c r="F44" s="44"/>
      <c r="G44" s="15">
        <f t="shared" si="1"/>
        <v>21794.86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40" t="s">
        <v>9</v>
      </c>
      <c r="B45" s="46">
        <v>45981.0</v>
      </c>
      <c r="C45" s="40" t="s">
        <v>10</v>
      </c>
      <c r="D45" s="11" t="s">
        <v>25</v>
      </c>
      <c r="E45" s="44"/>
      <c r="F45" s="50">
        <v>458.93</v>
      </c>
      <c r="G45" s="15">
        <f t="shared" si="1"/>
        <v>22253.79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40" t="s">
        <v>9</v>
      </c>
      <c r="B46" s="46">
        <v>45982.0</v>
      </c>
      <c r="C46" s="40" t="s">
        <v>10</v>
      </c>
      <c r="D46" s="23" t="s">
        <v>11</v>
      </c>
      <c r="E46" s="44"/>
      <c r="F46" s="50">
        <v>1400.0</v>
      </c>
      <c r="G46" s="15">
        <f t="shared" si="1"/>
        <v>23653.79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40" t="s">
        <v>9</v>
      </c>
      <c r="B47" s="46">
        <v>45982.0</v>
      </c>
      <c r="C47" s="40" t="s">
        <v>10</v>
      </c>
      <c r="D47" s="23" t="s">
        <v>11</v>
      </c>
      <c r="E47" s="44"/>
      <c r="F47" s="50">
        <v>1500.0</v>
      </c>
      <c r="G47" s="15">
        <f t="shared" si="1"/>
        <v>25153.79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40" t="s">
        <v>9</v>
      </c>
      <c r="B48" s="46">
        <v>45983.0</v>
      </c>
      <c r="C48" s="40" t="s">
        <v>10</v>
      </c>
      <c r="D48" s="11" t="s">
        <v>25</v>
      </c>
      <c r="E48" s="44"/>
      <c r="F48" s="50">
        <v>698.29</v>
      </c>
      <c r="G48" s="15">
        <f t="shared" si="1"/>
        <v>25852.08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40" t="s">
        <v>9</v>
      </c>
      <c r="B49" s="20">
        <v>45983.0</v>
      </c>
      <c r="C49" s="11" t="s">
        <v>15</v>
      </c>
      <c r="D49" s="11" t="s">
        <v>47</v>
      </c>
      <c r="E49" s="16">
        <v>11100.0</v>
      </c>
      <c r="F49" s="18"/>
      <c r="G49" s="15">
        <f t="shared" si="1"/>
        <v>14752.08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40" t="s">
        <v>9</v>
      </c>
      <c r="B50" s="20">
        <v>45982.0</v>
      </c>
      <c r="C50" s="11" t="s">
        <v>15</v>
      </c>
      <c r="D50" s="11" t="s">
        <v>48</v>
      </c>
      <c r="E50" s="16">
        <v>2102.42</v>
      </c>
      <c r="F50" s="18"/>
      <c r="G50" s="15">
        <f t="shared" si="1"/>
        <v>12649.66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40" t="s">
        <v>9</v>
      </c>
      <c r="B51" s="46">
        <v>45984.0</v>
      </c>
      <c r="C51" s="40" t="s">
        <v>10</v>
      </c>
      <c r="D51" s="23" t="s">
        <v>11</v>
      </c>
      <c r="E51" s="44"/>
      <c r="F51" s="50">
        <v>1100.0</v>
      </c>
      <c r="G51" s="15">
        <f t="shared" si="1"/>
        <v>13749.66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40" t="s">
        <v>9</v>
      </c>
      <c r="B52" s="46">
        <v>45985.0</v>
      </c>
      <c r="C52" s="40" t="s">
        <v>10</v>
      </c>
      <c r="D52" s="11" t="s">
        <v>25</v>
      </c>
      <c r="E52" s="44"/>
      <c r="F52" s="50">
        <v>1091.0</v>
      </c>
      <c r="G52" s="15">
        <f t="shared" si="1"/>
        <v>14840.66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49" t="s">
        <v>9</v>
      </c>
      <c r="B53" s="46">
        <v>45986.0</v>
      </c>
      <c r="C53" s="40" t="s">
        <v>10</v>
      </c>
      <c r="D53" s="23" t="s">
        <v>11</v>
      </c>
      <c r="E53" s="44"/>
      <c r="F53" s="50">
        <v>2500.0</v>
      </c>
      <c r="G53" s="15">
        <f t="shared" si="1"/>
        <v>17340.66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7.25" customHeight="1">
      <c r="A54" s="11" t="s">
        <v>9</v>
      </c>
      <c r="B54" s="46">
        <v>45986.0</v>
      </c>
      <c r="C54" s="40" t="s">
        <v>12</v>
      </c>
      <c r="D54" s="49" t="s">
        <v>49</v>
      </c>
      <c r="E54" s="48">
        <v>139.28</v>
      </c>
      <c r="F54" s="44"/>
      <c r="G54" s="15">
        <f t="shared" si="1"/>
        <v>17201.38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7.25" customHeight="1">
      <c r="A55" s="49" t="s">
        <v>9</v>
      </c>
      <c r="B55" s="46">
        <v>45986.0</v>
      </c>
      <c r="C55" s="40" t="s">
        <v>10</v>
      </c>
      <c r="D55" s="23" t="s">
        <v>11</v>
      </c>
      <c r="E55" s="44"/>
      <c r="F55" s="50">
        <v>1300.0</v>
      </c>
      <c r="G55" s="15">
        <f t="shared" si="1"/>
        <v>18501.38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7.25" customHeight="1">
      <c r="A56" s="40" t="s">
        <v>9</v>
      </c>
      <c r="B56" s="46">
        <v>45987.0</v>
      </c>
      <c r="C56" s="40" t="s">
        <v>10</v>
      </c>
      <c r="D56" s="11" t="s">
        <v>25</v>
      </c>
      <c r="E56" s="44"/>
      <c r="F56" s="50">
        <v>868.93</v>
      </c>
      <c r="G56" s="15">
        <f t="shared" si="1"/>
        <v>19370.31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7.25" customHeight="1">
      <c r="A57" s="49" t="s">
        <v>9</v>
      </c>
      <c r="B57" s="46">
        <v>45988.0</v>
      </c>
      <c r="C57" s="40" t="s">
        <v>10</v>
      </c>
      <c r="D57" s="23" t="s">
        <v>11</v>
      </c>
      <c r="E57" s="44"/>
      <c r="F57" s="50">
        <v>1800.0</v>
      </c>
      <c r="G57" s="15">
        <f t="shared" si="1"/>
        <v>21170.31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7.25" customHeight="1">
      <c r="A58" s="49" t="s">
        <v>9</v>
      </c>
      <c r="B58" s="46">
        <v>45988.0</v>
      </c>
      <c r="C58" s="11" t="s">
        <v>15</v>
      </c>
      <c r="D58" s="11" t="s">
        <v>50</v>
      </c>
      <c r="E58" s="48">
        <v>2939.2</v>
      </c>
      <c r="F58" s="50"/>
      <c r="G58" s="15">
        <f t="shared" si="1"/>
        <v>18231.11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7.25" customHeight="1">
      <c r="A59" s="11" t="s">
        <v>9</v>
      </c>
      <c r="B59" s="20">
        <v>45989.0</v>
      </c>
      <c r="C59" s="11" t="s">
        <v>14</v>
      </c>
      <c r="D59" s="11" t="s">
        <v>14</v>
      </c>
      <c r="E59" s="16">
        <v>50.0</v>
      </c>
      <c r="F59" s="14"/>
      <c r="G59" s="15">
        <f t="shared" si="1"/>
        <v>18181.11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7.25" customHeight="1">
      <c r="A60" s="11" t="s">
        <v>9</v>
      </c>
      <c r="B60" s="20">
        <v>45989.0</v>
      </c>
      <c r="C60" s="11" t="s">
        <v>14</v>
      </c>
      <c r="D60" s="11" t="s">
        <v>14</v>
      </c>
      <c r="E60" s="16">
        <f>35+20+20</f>
        <v>75</v>
      </c>
      <c r="F60" s="14"/>
      <c r="G60" s="15">
        <f t="shared" si="1"/>
        <v>18106.11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7.25" customHeight="1">
      <c r="A61" s="23" t="s">
        <v>9</v>
      </c>
      <c r="B61" s="51">
        <v>45990.0</v>
      </c>
      <c r="C61" s="23" t="s">
        <v>14</v>
      </c>
      <c r="D61" s="23" t="s">
        <v>14</v>
      </c>
      <c r="E61" s="41">
        <v>30.0</v>
      </c>
      <c r="F61" s="24"/>
      <c r="G61" s="15">
        <f t="shared" si="1"/>
        <v>18076.11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7.25" customHeight="1">
      <c r="A62" s="40" t="s">
        <v>9</v>
      </c>
      <c r="B62" s="46">
        <v>45989.0</v>
      </c>
      <c r="C62" s="40" t="s">
        <v>10</v>
      </c>
      <c r="D62" s="11" t="s">
        <v>25</v>
      </c>
      <c r="E62" s="44"/>
      <c r="F62" s="50">
        <v>1285.66</v>
      </c>
      <c r="G62" s="15">
        <f t="shared" si="1"/>
        <v>19361.77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7.25" customHeight="1">
      <c r="A63" s="40" t="s">
        <v>9</v>
      </c>
      <c r="B63" s="46">
        <v>45990.0</v>
      </c>
      <c r="C63" s="40" t="s">
        <v>10</v>
      </c>
      <c r="D63" s="23" t="s">
        <v>11</v>
      </c>
      <c r="E63" s="44"/>
      <c r="F63" s="50">
        <v>2100.0</v>
      </c>
      <c r="G63" s="15">
        <f t="shared" si="1"/>
        <v>21461.77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40" t="s">
        <v>9</v>
      </c>
      <c r="B64" s="46">
        <v>45990.0</v>
      </c>
      <c r="C64" s="40" t="s">
        <v>15</v>
      </c>
      <c r="D64" s="49" t="s">
        <v>51</v>
      </c>
      <c r="E64" s="43">
        <v>875.0</v>
      </c>
      <c r="F64" s="44"/>
      <c r="G64" s="15">
        <f t="shared" si="1"/>
        <v>20586.77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40" t="s">
        <v>9</v>
      </c>
      <c r="B65" s="46">
        <v>45991.0</v>
      </c>
      <c r="C65" s="40" t="s">
        <v>15</v>
      </c>
      <c r="D65" s="49" t="s">
        <v>52</v>
      </c>
      <c r="E65" s="48">
        <v>1866.66</v>
      </c>
      <c r="F65" s="44"/>
      <c r="G65" s="15">
        <f t="shared" si="1"/>
        <v>18720.11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40" t="s">
        <v>9</v>
      </c>
      <c r="B66" s="46">
        <v>45991.0</v>
      </c>
      <c r="C66" s="40" t="s">
        <v>14</v>
      </c>
      <c r="D66" s="40" t="s">
        <v>14</v>
      </c>
      <c r="E66" s="48">
        <v>25.0</v>
      </c>
      <c r="F66" s="44"/>
      <c r="G66" s="15">
        <f t="shared" si="1"/>
        <v>18695.11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40" t="s">
        <v>9</v>
      </c>
      <c r="B67" s="46">
        <v>45991.0</v>
      </c>
      <c r="C67" s="40" t="s">
        <v>10</v>
      </c>
      <c r="D67" s="11" t="s">
        <v>25</v>
      </c>
      <c r="E67" s="44"/>
      <c r="F67" s="50">
        <v>869.73</v>
      </c>
      <c r="G67" s="15">
        <f t="shared" si="1"/>
        <v>19564.84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40" t="s">
        <v>9</v>
      </c>
      <c r="B68" s="46">
        <v>45991.0</v>
      </c>
      <c r="C68" s="40" t="s">
        <v>10</v>
      </c>
      <c r="D68" s="23" t="s">
        <v>11</v>
      </c>
      <c r="E68" s="44"/>
      <c r="F68" s="50">
        <v>1550.0</v>
      </c>
      <c r="G68" s="15">
        <f t="shared" si="1"/>
        <v>21114.84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31"/>
      <c r="E69" s="32">
        <f t="shared" ref="E69:F69" si="2">SUM(E10:E67)</f>
        <v>30098.73</v>
      </c>
      <c r="F69" s="33">
        <f t="shared" si="2"/>
        <v>38622.01</v>
      </c>
      <c r="G69" s="53">
        <f>G68</f>
        <v>21114.84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34"/>
      <c r="B70" s="35"/>
      <c r="C70" s="35"/>
      <c r="D70" s="35"/>
      <c r="E70" s="36"/>
      <c r="F70" s="37"/>
      <c r="G70" s="3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35"/>
      <c r="B71" s="35"/>
      <c r="C71" s="35"/>
      <c r="D71" s="35"/>
      <c r="E71" s="36"/>
      <c r="F71" s="37"/>
      <c r="G71" s="3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35"/>
      <c r="B72" s="35"/>
      <c r="C72" s="35"/>
      <c r="D72" s="35"/>
      <c r="E72" s="36"/>
      <c r="F72" s="37"/>
      <c r="G72" s="3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35"/>
      <c r="B73" s="35"/>
      <c r="C73" s="35"/>
      <c r="D73" s="35"/>
      <c r="E73" s="36"/>
      <c r="F73" s="37"/>
      <c r="G73" s="3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35"/>
      <c r="B74" s="35"/>
      <c r="C74" s="35"/>
      <c r="D74" s="35"/>
      <c r="E74" s="36"/>
      <c r="F74" s="37"/>
      <c r="G74" s="3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35"/>
      <c r="B75" s="35"/>
      <c r="C75" s="35"/>
      <c r="D75" s="35"/>
      <c r="E75" s="36"/>
      <c r="F75" s="37"/>
      <c r="G75" s="3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35"/>
      <c r="B76" s="35"/>
      <c r="C76" s="35"/>
      <c r="D76" s="35"/>
      <c r="E76" s="36"/>
      <c r="F76" s="37"/>
      <c r="G76" s="3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35"/>
      <c r="B77" s="35"/>
      <c r="C77" s="35"/>
      <c r="D77" s="35"/>
      <c r="E77" s="36"/>
      <c r="F77" s="37"/>
      <c r="G77" s="3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35"/>
      <c r="B78" s="35"/>
      <c r="C78" s="35"/>
      <c r="D78" s="35"/>
      <c r="E78" s="36"/>
      <c r="F78" s="37"/>
      <c r="G78" s="5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35"/>
      <c r="B79" s="35"/>
      <c r="C79" s="35"/>
      <c r="D79" s="35"/>
      <c r="E79" s="36"/>
      <c r="F79" s="37"/>
      <c r="G79" s="3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35"/>
      <c r="B80" s="35"/>
      <c r="C80" s="35"/>
      <c r="D80" s="35"/>
      <c r="E80" s="36"/>
      <c r="F80" s="37"/>
      <c r="G80" s="3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35"/>
      <c r="B81" s="35"/>
      <c r="C81" s="35"/>
      <c r="D81" s="35"/>
      <c r="E81" s="36"/>
      <c r="F81" s="37"/>
      <c r="G81" s="3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35"/>
      <c r="B82" s="35"/>
      <c r="C82" s="35"/>
      <c r="D82" s="55"/>
      <c r="E82" s="36"/>
      <c r="F82" s="37"/>
      <c r="G82" s="3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35"/>
      <c r="B83" s="35"/>
      <c r="C83" s="35"/>
      <c r="D83" s="35"/>
      <c r="E83" s="36"/>
      <c r="F83" s="37"/>
      <c r="G83" s="3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35"/>
      <c r="B84" s="35"/>
      <c r="C84" s="35"/>
      <c r="D84" s="35"/>
      <c r="E84" s="36"/>
      <c r="F84" s="37"/>
      <c r="G84" s="3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35"/>
      <c r="B85" s="35"/>
      <c r="C85" s="35"/>
      <c r="D85" s="35"/>
      <c r="E85" s="36"/>
      <c r="F85" s="37"/>
      <c r="G85" s="3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35"/>
      <c r="B86" s="35"/>
      <c r="C86" s="35"/>
      <c r="D86" s="35"/>
      <c r="E86" s="36"/>
      <c r="F86" s="37"/>
      <c r="G86" s="3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35"/>
      <c r="B87" s="35"/>
      <c r="C87" s="35"/>
      <c r="D87" s="35"/>
      <c r="E87" s="36"/>
      <c r="F87" s="37"/>
      <c r="G87" s="3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35"/>
      <c r="B88" s="35"/>
      <c r="C88" s="35"/>
      <c r="D88" s="35"/>
      <c r="E88" s="36"/>
      <c r="F88" s="37"/>
      <c r="G88" s="3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</sheetData>
  <autoFilter ref="$A$2:$G$69"/>
  <mergeCells count="3">
    <mergeCell ref="A1:G1"/>
    <mergeCell ref="B3:F3"/>
    <mergeCell ref="A69:D69"/>
  </mergeCells>
  <conditionalFormatting sqref="B4:B68">
    <cfRule type="expression" dxfId="0" priority="1">
      <formula>AND(B4&lt;=TODAY(), A4&lt;&gt;"OK")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63"/>
    <col customWidth="1" min="2" max="2" width="24.13"/>
    <col customWidth="1" min="3" max="3" width="30.38"/>
    <col customWidth="1" min="4" max="4" width="46.63"/>
    <col customWidth="1" min="5" max="27" width="30.38"/>
  </cols>
  <sheetData>
    <row r="1" ht="30.75" customHeight="1">
      <c r="A1" s="2" t="s">
        <v>53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9" t="s">
        <v>8</v>
      </c>
      <c r="C3" s="3"/>
      <c r="D3" s="3"/>
      <c r="E3" s="3"/>
      <c r="F3" s="4"/>
      <c r="G3" s="10">
        <f>Novembro!G69</f>
        <v>21114.84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40" t="s">
        <v>9</v>
      </c>
      <c r="B4" s="26">
        <v>45992.0</v>
      </c>
      <c r="C4" s="40" t="s">
        <v>14</v>
      </c>
      <c r="D4" s="40" t="s">
        <v>14</v>
      </c>
      <c r="E4" s="48">
        <f>30+20+20+30</f>
        <v>100</v>
      </c>
      <c r="F4" s="44"/>
      <c r="G4" s="15">
        <f t="shared" ref="G4:G81" si="1">G3+F4-E4</f>
        <v>21014.84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3" t="s">
        <v>9</v>
      </c>
      <c r="B5" s="26">
        <v>45992.0</v>
      </c>
      <c r="C5" s="40" t="s">
        <v>10</v>
      </c>
      <c r="D5" s="23" t="s">
        <v>25</v>
      </c>
      <c r="E5" s="24"/>
      <c r="F5" s="27">
        <v>839.36</v>
      </c>
      <c r="G5" s="15">
        <f t="shared" si="1"/>
        <v>21854.2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1" t="s">
        <v>9</v>
      </c>
      <c r="B6" s="26">
        <v>45993.0</v>
      </c>
      <c r="C6" s="40" t="s">
        <v>12</v>
      </c>
      <c r="D6" s="39" t="s">
        <v>13</v>
      </c>
      <c r="E6" s="41">
        <v>208.9</v>
      </c>
      <c r="F6" s="27"/>
      <c r="G6" s="15">
        <f t="shared" si="1"/>
        <v>21645.3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0" t="s">
        <v>9</v>
      </c>
      <c r="B7" s="26">
        <v>45993.0</v>
      </c>
      <c r="C7" s="40" t="s">
        <v>14</v>
      </c>
      <c r="D7" s="40" t="s">
        <v>14</v>
      </c>
      <c r="E7" s="48">
        <v>20.0</v>
      </c>
      <c r="F7" s="44"/>
      <c r="G7" s="15">
        <f t="shared" si="1"/>
        <v>21625.3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9" t="s">
        <v>9</v>
      </c>
      <c r="B8" s="26">
        <v>45993.0</v>
      </c>
      <c r="C8" s="40" t="s">
        <v>10</v>
      </c>
      <c r="D8" s="23" t="s">
        <v>11</v>
      </c>
      <c r="E8" s="24"/>
      <c r="F8" s="27">
        <v>1492.93</v>
      </c>
      <c r="G8" s="15">
        <f t="shared" si="1"/>
        <v>23118.23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9" t="s">
        <v>9</v>
      </c>
      <c r="B9" s="26">
        <v>45993.0</v>
      </c>
      <c r="C9" s="23" t="s">
        <v>15</v>
      </c>
      <c r="D9" s="39" t="s">
        <v>54</v>
      </c>
      <c r="E9" s="41">
        <v>338.33</v>
      </c>
      <c r="F9" s="24"/>
      <c r="G9" s="15">
        <f t="shared" si="1"/>
        <v>22779.9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3" t="s">
        <v>9</v>
      </c>
      <c r="B10" s="26">
        <v>45994.0</v>
      </c>
      <c r="C10" s="40" t="s">
        <v>10</v>
      </c>
      <c r="D10" s="23" t="s">
        <v>25</v>
      </c>
      <c r="E10" s="24"/>
      <c r="F10" s="27">
        <v>363.38</v>
      </c>
      <c r="G10" s="15">
        <f t="shared" si="1"/>
        <v>23143.28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" t="s">
        <v>9</v>
      </c>
      <c r="B11" s="26">
        <v>45995.0</v>
      </c>
      <c r="C11" s="40" t="s">
        <v>10</v>
      </c>
      <c r="D11" s="23" t="s">
        <v>11</v>
      </c>
      <c r="E11" s="24"/>
      <c r="F11" s="27">
        <v>1400.0</v>
      </c>
      <c r="G11" s="15">
        <f t="shared" si="1"/>
        <v>24543.28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3" t="s">
        <v>9</v>
      </c>
      <c r="B12" s="42">
        <v>45995.0</v>
      </c>
      <c r="C12" s="40" t="s">
        <v>15</v>
      </c>
      <c r="D12" s="49" t="s">
        <v>55</v>
      </c>
      <c r="E12" s="48">
        <v>1108.33</v>
      </c>
      <c r="F12" s="44"/>
      <c r="G12" s="15">
        <f t="shared" si="1"/>
        <v>23434.95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3" t="s">
        <v>9</v>
      </c>
      <c r="B13" s="42">
        <v>45995.0</v>
      </c>
      <c r="C13" s="40" t="s">
        <v>10</v>
      </c>
      <c r="D13" s="23" t="s">
        <v>25</v>
      </c>
      <c r="E13" s="44"/>
      <c r="F13" s="50">
        <v>330.19</v>
      </c>
      <c r="G13" s="15">
        <f t="shared" si="1"/>
        <v>23765.14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3" t="s">
        <v>9</v>
      </c>
      <c r="B14" s="42">
        <v>45996.0</v>
      </c>
      <c r="C14" s="40" t="s">
        <v>10</v>
      </c>
      <c r="D14" s="40" t="s">
        <v>11</v>
      </c>
      <c r="E14" s="44"/>
      <c r="F14" s="50">
        <v>1597.31</v>
      </c>
      <c r="G14" s="15">
        <f t="shared" si="1"/>
        <v>25362.45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3" t="s">
        <v>9</v>
      </c>
      <c r="B15" s="26">
        <v>45996.0</v>
      </c>
      <c r="C15" s="23" t="s">
        <v>15</v>
      </c>
      <c r="D15" s="39" t="s">
        <v>56</v>
      </c>
      <c r="E15" s="41">
        <v>583.33</v>
      </c>
      <c r="F15" s="24"/>
      <c r="G15" s="15">
        <f t="shared" si="1"/>
        <v>24779.12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3" t="s">
        <v>9</v>
      </c>
      <c r="B16" s="26">
        <v>45996.0</v>
      </c>
      <c r="C16" s="23" t="s">
        <v>15</v>
      </c>
      <c r="D16" s="39" t="s">
        <v>57</v>
      </c>
      <c r="E16" s="28">
        <v>1417.5</v>
      </c>
      <c r="F16" s="24"/>
      <c r="G16" s="15">
        <f t="shared" si="1"/>
        <v>23361.62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3" t="s">
        <v>9</v>
      </c>
      <c r="B17" s="26">
        <v>45996.0</v>
      </c>
      <c r="C17" s="23" t="s">
        <v>15</v>
      </c>
      <c r="D17" s="39" t="s">
        <v>58</v>
      </c>
      <c r="E17" s="28">
        <v>531.66</v>
      </c>
      <c r="F17" s="24"/>
      <c r="G17" s="15">
        <f t="shared" si="1"/>
        <v>22829.96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3" t="s">
        <v>9</v>
      </c>
      <c r="B18" s="42">
        <v>45996.0</v>
      </c>
      <c r="C18" s="40" t="s">
        <v>12</v>
      </c>
      <c r="D18" s="40" t="s">
        <v>18</v>
      </c>
      <c r="E18" s="43">
        <v>350.0</v>
      </c>
      <c r="F18" s="44"/>
      <c r="G18" s="15">
        <f t="shared" si="1"/>
        <v>22479.96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8.75" customHeight="1">
      <c r="A19" s="23" t="s">
        <v>9</v>
      </c>
      <c r="B19" s="42">
        <v>45996.0</v>
      </c>
      <c r="C19" s="40" t="s">
        <v>19</v>
      </c>
      <c r="D19" s="40" t="s">
        <v>20</v>
      </c>
      <c r="E19" s="45">
        <v>1000.0</v>
      </c>
      <c r="F19" s="44"/>
      <c r="G19" s="15">
        <f t="shared" si="1"/>
        <v>21479.96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" t="s">
        <v>9</v>
      </c>
      <c r="B20" s="26">
        <v>45997.0</v>
      </c>
      <c r="C20" s="40" t="s">
        <v>10</v>
      </c>
      <c r="D20" s="23" t="s">
        <v>11</v>
      </c>
      <c r="E20" s="24"/>
      <c r="F20" s="27">
        <v>1916.67</v>
      </c>
      <c r="G20" s="15">
        <f t="shared" si="1"/>
        <v>23396.63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3" t="s">
        <v>9</v>
      </c>
      <c r="B21" s="26">
        <v>45998.0</v>
      </c>
      <c r="C21" s="40" t="s">
        <v>10</v>
      </c>
      <c r="D21" s="23" t="s">
        <v>25</v>
      </c>
      <c r="E21" s="44"/>
      <c r="F21" s="50">
        <v>866.95</v>
      </c>
      <c r="G21" s="15">
        <f t="shared" si="1"/>
        <v>24263.58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3" t="s">
        <v>9</v>
      </c>
      <c r="B22" s="26">
        <v>45998.0</v>
      </c>
      <c r="C22" s="40" t="s">
        <v>12</v>
      </c>
      <c r="D22" s="39" t="s">
        <v>39</v>
      </c>
      <c r="E22" s="41">
        <f>149+45</f>
        <v>194</v>
      </c>
      <c r="F22" s="27"/>
      <c r="G22" s="15">
        <f t="shared" si="1"/>
        <v>24069.58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3" t="s">
        <v>9</v>
      </c>
      <c r="B23" s="26">
        <v>45998.0</v>
      </c>
      <c r="C23" s="23" t="s">
        <v>15</v>
      </c>
      <c r="D23" s="39" t="s">
        <v>59</v>
      </c>
      <c r="E23" s="41">
        <v>801.67</v>
      </c>
      <c r="F23" s="24"/>
      <c r="G23" s="15">
        <f t="shared" si="1"/>
        <v>23267.91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3" t="s">
        <v>9</v>
      </c>
      <c r="B24" s="12">
        <v>45999.0</v>
      </c>
      <c r="C24" s="40" t="s">
        <v>10</v>
      </c>
      <c r="D24" s="23" t="s">
        <v>11</v>
      </c>
      <c r="E24" s="24"/>
      <c r="F24" s="27">
        <v>2800.0</v>
      </c>
      <c r="G24" s="15">
        <f t="shared" si="1"/>
        <v>26067.91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3" t="s">
        <v>9</v>
      </c>
      <c r="B25" s="26">
        <v>45999.0</v>
      </c>
      <c r="C25" s="40" t="s">
        <v>10</v>
      </c>
      <c r="D25" s="23" t="s">
        <v>25</v>
      </c>
      <c r="E25" s="44"/>
      <c r="F25" s="50">
        <v>798.42</v>
      </c>
      <c r="G25" s="15">
        <f t="shared" si="1"/>
        <v>26866.33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3" t="s">
        <v>9</v>
      </c>
      <c r="B26" s="12">
        <v>45999.0</v>
      </c>
      <c r="C26" s="11" t="s">
        <v>15</v>
      </c>
      <c r="D26" s="11" t="s">
        <v>60</v>
      </c>
      <c r="E26" s="16">
        <v>901.14</v>
      </c>
      <c r="F26" s="14"/>
      <c r="G26" s="15">
        <f t="shared" si="1"/>
        <v>25965.19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39" t="s">
        <v>9</v>
      </c>
      <c r="B27" s="12">
        <v>46000.0</v>
      </c>
      <c r="C27" s="49" t="s">
        <v>19</v>
      </c>
      <c r="D27" s="39" t="s">
        <v>61</v>
      </c>
      <c r="E27" s="16">
        <v>9000.0</v>
      </c>
      <c r="F27" s="14"/>
      <c r="G27" s="15">
        <f t="shared" si="1"/>
        <v>16965.19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39" t="s">
        <v>9</v>
      </c>
      <c r="B28" s="12">
        <v>46000.0</v>
      </c>
      <c r="C28" s="11" t="s">
        <v>15</v>
      </c>
      <c r="D28" s="11" t="s">
        <v>62</v>
      </c>
      <c r="E28" s="16">
        <v>1973.31</v>
      </c>
      <c r="F28" s="14"/>
      <c r="G28" s="15">
        <f t="shared" si="1"/>
        <v>14991.88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39" t="s">
        <v>9</v>
      </c>
      <c r="B29" s="12">
        <v>46000.0</v>
      </c>
      <c r="C29" s="40" t="s">
        <v>10</v>
      </c>
      <c r="D29" s="23" t="s">
        <v>11</v>
      </c>
      <c r="E29" s="24"/>
      <c r="F29" s="27">
        <v>2050.0</v>
      </c>
      <c r="G29" s="15">
        <f t="shared" si="1"/>
        <v>17041.88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39" t="s">
        <v>9</v>
      </c>
      <c r="B30" s="12">
        <v>46000.0</v>
      </c>
      <c r="C30" s="40" t="s">
        <v>10</v>
      </c>
      <c r="D30" s="23" t="s">
        <v>25</v>
      </c>
      <c r="E30" s="44"/>
      <c r="F30" s="50">
        <v>726.97</v>
      </c>
      <c r="G30" s="15">
        <f t="shared" si="1"/>
        <v>17768.85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39" t="s">
        <v>9</v>
      </c>
      <c r="B31" s="12">
        <v>46001.0</v>
      </c>
      <c r="C31" s="40" t="s">
        <v>10</v>
      </c>
      <c r="D31" s="23" t="s">
        <v>11</v>
      </c>
      <c r="E31" s="24"/>
      <c r="F31" s="27">
        <v>1501.44</v>
      </c>
      <c r="G31" s="15">
        <f t="shared" si="1"/>
        <v>19270.29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39" t="s">
        <v>9</v>
      </c>
      <c r="B32" s="22">
        <v>46001.0</v>
      </c>
      <c r="C32" s="23" t="s">
        <v>15</v>
      </c>
      <c r="D32" s="39" t="s">
        <v>63</v>
      </c>
      <c r="E32" s="41">
        <v>2330.0</v>
      </c>
      <c r="F32" s="24"/>
      <c r="G32" s="15">
        <f t="shared" si="1"/>
        <v>16940.29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39" t="s">
        <v>9</v>
      </c>
      <c r="B33" s="46">
        <v>46001.0</v>
      </c>
      <c r="C33" s="40" t="s">
        <v>22</v>
      </c>
      <c r="D33" s="40" t="s">
        <v>23</v>
      </c>
      <c r="E33" s="44"/>
      <c r="F33" s="47">
        <v>2246.82</v>
      </c>
      <c r="G33" s="15">
        <f t="shared" si="1"/>
        <v>19187.11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39" t="s">
        <v>9</v>
      </c>
      <c r="B34" s="46">
        <v>46001.0</v>
      </c>
      <c r="C34" s="40" t="s">
        <v>15</v>
      </c>
      <c r="D34" s="40" t="s">
        <v>24</v>
      </c>
      <c r="E34" s="43">
        <v>2246.82</v>
      </c>
      <c r="F34" s="44"/>
      <c r="G34" s="15">
        <f t="shared" si="1"/>
        <v>16940.29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39" t="s">
        <v>9</v>
      </c>
      <c r="B35" s="46">
        <v>46002.0</v>
      </c>
      <c r="C35" s="40" t="s">
        <v>12</v>
      </c>
      <c r="D35" s="49" t="s">
        <v>64</v>
      </c>
      <c r="E35" s="48">
        <v>284.49</v>
      </c>
      <c r="F35" s="44"/>
      <c r="G35" s="15">
        <f t="shared" si="1"/>
        <v>16655.8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39" t="s">
        <v>9</v>
      </c>
      <c r="B36" s="46">
        <v>46002.0</v>
      </c>
      <c r="C36" s="40" t="s">
        <v>10</v>
      </c>
      <c r="D36" s="23" t="s">
        <v>25</v>
      </c>
      <c r="E36" s="24"/>
      <c r="F36" s="27">
        <v>1445.06</v>
      </c>
      <c r="G36" s="15">
        <f t="shared" si="1"/>
        <v>18100.86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39" t="s">
        <v>9</v>
      </c>
      <c r="B37" s="12">
        <v>46003.0</v>
      </c>
      <c r="C37" s="40" t="s">
        <v>10</v>
      </c>
      <c r="D37" s="23" t="s">
        <v>11</v>
      </c>
      <c r="E37" s="24"/>
      <c r="F37" s="27">
        <v>3300.0</v>
      </c>
      <c r="G37" s="15">
        <f t="shared" si="1"/>
        <v>21400.86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39" t="s">
        <v>9</v>
      </c>
      <c r="B38" s="46">
        <v>46003.0</v>
      </c>
      <c r="C38" s="23" t="s">
        <v>15</v>
      </c>
      <c r="D38" s="39" t="s">
        <v>65</v>
      </c>
      <c r="E38" s="48">
        <v>852.0</v>
      </c>
      <c r="F38" s="44"/>
      <c r="G38" s="15">
        <f t="shared" si="1"/>
        <v>20548.86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39" t="s">
        <v>9</v>
      </c>
      <c r="B39" s="46">
        <v>46003.0</v>
      </c>
      <c r="C39" s="40" t="s">
        <v>12</v>
      </c>
      <c r="D39" s="49" t="s">
        <v>64</v>
      </c>
      <c r="E39" s="48">
        <v>150.0</v>
      </c>
      <c r="F39" s="44"/>
      <c r="G39" s="15">
        <f t="shared" si="1"/>
        <v>20398.86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39" t="s">
        <v>9</v>
      </c>
      <c r="B40" s="46">
        <v>46003.0</v>
      </c>
      <c r="C40" s="40" t="s">
        <v>10</v>
      </c>
      <c r="D40" s="23" t="s">
        <v>25</v>
      </c>
      <c r="E40" s="44"/>
      <c r="F40" s="50">
        <v>1056.74</v>
      </c>
      <c r="G40" s="15">
        <f t="shared" si="1"/>
        <v>21455.6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39" t="s">
        <v>9</v>
      </c>
      <c r="B41" s="46">
        <v>46004.0</v>
      </c>
      <c r="C41" s="40" t="s">
        <v>10</v>
      </c>
      <c r="D41" s="23" t="s">
        <v>11</v>
      </c>
      <c r="E41" s="24"/>
      <c r="F41" s="27">
        <v>2100.0</v>
      </c>
      <c r="G41" s="15">
        <f t="shared" si="1"/>
        <v>23555.6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39" t="s">
        <v>9</v>
      </c>
      <c r="B42" s="46">
        <v>46004.0</v>
      </c>
      <c r="C42" s="40" t="s">
        <v>26</v>
      </c>
      <c r="D42" s="49" t="s">
        <v>66</v>
      </c>
      <c r="E42" s="43">
        <v>64.42</v>
      </c>
      <c r="F42" s="44"/>
      <c r="G42" s="15">
        <f t="shared" si="1"/>
        <v>23491.18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39" t="s">
        <v>9</v>
      </c>
      <c r="B43" s="46">
        <v>46005.0</v>
      </c>
      <c r="C43" s="23" t="s">
        <v>15</v>
      </c>
      <c r="D43" s="39" t="s">
        <v>67</v>
      </c>
      <c r="E43" s="48">
        <v>2960.0</v>
      </c>
      <c r="F43" s="44"/>
      <c r="G43" s="15">
        <f t="shared" si="1"/>
        <v>20531.18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39" t="s">
        <v>9</v>
      </c>
      <c r="B44" s="46">
        <v>46005.0</v>
      </c>
      <c r="C44" s="40" t="s">
        <v>10</v>
      </c>
      <c r="D44" s="23" t="s">
        <v>25</v>
      </c>
      <c r="E44" s="44"/>
      <c r="F44" s="50">
        <v>1267.7</v>
      </c>
      <c r="G44" s="15">
        <f t="shared" si="1"/>
        <v>21798.88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39" t="s">
        <v>9</v>
      </c>
      <c r="B45" s="12">
        <v>46006.0</v>
      </c>
      <c r="C45" s="40" t="s">
        <v>10</v>
      </c>
      <c r="D45" s="23" t="s">
        <v>11</v>
      </c>
      <c r="E45" s="24"/>
      <c r="F45" s="27">
        <v>1300.0</v>
      </c>
      <c r="G45" s="15">
        <f t="shared" si="1"/>
        <v>23098.88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39" t="s">
        <v>9</v>
      </c>
      <c r="B46" s="12">
        <v>46006.0</v>
      </c>
      <c r="C46" s="40" t="s">
        <v>10</v>
      </c>
      <c r="D46" s="23" t="s">
        <v>25</v>
      </c>
      <c r="E46" s="44"/>
      <c r="F46" s="50">
        <v>740.5</v>
      </c>
      <c r="G46" s="15">
        <f t="shared" si="1"/>
        <v>23839.38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39" t="s">
        <v>9</v>
      </c>
      <c r="B47" s="46">
        <v>46006.0</v>
      </c>
      <c r="C47" s="23" t="s">
        <v>15</v>
      </c>
      <c r="D47" s="39" t="s">
        <v>68</v>
      </c>
      <c r="E47" s="48">
        <v>1195.83</v>
      </c>
      <c r="F47" s="44"/>
      <c r="G47" s="15">
        <f t="shared" si="1"/>
        <v>22643.55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39" t="s">
        <v>9</v>
      </c>
      <c r="B48" s="46">
        <v>46006.0</v>
      </c>
      <c r="C48" s="40" t="s">
        <v>12</v>
      </c>
      <c r="D48" s="49" t="s">
        <v>64</v>
      </c>
      <c r="E48" s="48">
        <v>140.0</v>
      </c>
      <c r="F48" s="44"/>
      <c r="G48" s="15">
        <f t="shared" si="1"/>
        <v>22503.55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39" t="s">
        <v>9</v>
      </c>
      <c r="B49" s="12">
        <v>46006.0</v>
      </c>
      <c r="C49" s="40" t="s">
        <v>10</v>
      </c>
      <c r="D49" s="23" t="s">
        <v>11</v>
      </c>
      <c r="E49" s="24"/>
      <c r="F49" s="27">
        <v>1100.0</v>
      </c>
      <c r="G49" s="15">
        <f t="shared" si="1"/>
        <v>23603.55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39" t="s">
        <v>9</v>
      </c>
      <c r="B50" s="12">
        <v>46007.0</v>
      </c>
      <c r="C50" s="40" t="s">
        <v>10</v>
      </c>
      <c r="D50" s="23" t="s">
        <v>25</v>
      </c>
      <c r="E50" s="24"/>
      <c r="F50" s="27">
        <v>1053.93</v>
      </c>
      <c r="G50" s="15">
        <f t="shared" si="1"/>
        <v>24657.48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39" t="s">
        <v>9</v>
      </c>
      <c r="B51" s="12">
        <v>46007.0</v>
      </c>
      <c r="C51" s="40" t="s">
        <v>10</v>
      </c>
      <c r="D51" s="23" t="s">
        <v>11</v>
      </c>
      <c r="E51" s="24"/>
      <c r="F51" s="27">
        <v>1600.0</v>
      </c>
      <c r="G51" s="15">
        <f t="shared" si="1"/>
        <v>26257.48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40" t="s">
        <v>9</v>
      </c>
      <c r="B52" s="26">
        <v>46008.0</v>
      </c>
      <c r="C52" s="40" t="s">
        <v>10</v>
      </c>
      <c r="D52" s="40" t="s">
        <v>11</v>
      </c>
      <c r="E52" s="44"/>
      <c r="F52" s="50">
        <v>731.4</v>
      </c>
      <c r="G52" s="15">
        <f t="shared" si="1"/>
        <v>26988.88</v>
      </c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0" t="s">
        <v>9</v>
      </c>
      <c r="B53" s="26">
        <v>46008.0</v>
      </c>
      <c r="C53" s="23" t="s">
        <v>15</v>
      </c>
      <c r="D53" s="49" t="s">
        <v>69</v>
      </c>
      <c r="E53" s="41">
        <v>2486.4</v>
      </c>
      <c r="F53" s="24"/>
      <c r="G53" s="15">
        <f t="shared" si="1"/>
        <v>24502.48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0" t="s">
        <v>9</v>
      </c>
      <c r="B54" s="26">
        <v>46008.0</v>
      </c>
      <c r="C54" s="40" t="s">
        <v>10</v>
      </c>
      <c r="D54" s="23" t="s">
        <v>11</v>
      </c>
      <c r="E54" s="24"/>
      <c r="F54" s="27">
        <v>1900.0</v>
      </c>
      <c r="G54" s="15">
        <f t="shared" si="1"/>
        <v>26402.48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40" t="s">
        <v>9</v>
      </c>
      <c r="B55" s="42">
        <v>46010.0</v>
      </c>
      <c r="C55" s="40" t="s">
        <v>10</v>
      </c>
      <c r="D55" s="40" t="s">
        <v>11</v>
      </c>
      <c r="E55" s="44"/>
      <c r="F55" s="50">
        <v>2368.9</v>
      </c>
      <c r="G55" s="15">
        <f t="shared" si="1"/>
        <v>28771.38</v>
      </c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0" t="s">
        <v>9</v>
      </c>
      <c r="B56" s="26">
        <v>46011.0</v>
      </c>
      <c r="C56" s="40" t="s">
        <v>10</v>
      </c>
      <c r="D56" s="23" t="s">
        <v>11</v>
      </c>
      <c r="E56" s="24"/>
      <c r="F56" s="27">
        <v>3687.83</v>
      </c>
      <c r="G56" s="15">
        <f t="shared" si="1"/>
        <v>32459.21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11" t="s">
        <v>9</v>
      </c>
      <c r="B57" s="46">
        <v>46011.0</v>
      </c>
      <c r="C57" s="40" t="s">
        <v>28</v>
      </c>
      <c r="D57" s="56" t="s">
        <v>70</v>
      </c>
      <c r="E57" s="48">
        <v>2991.69</v>
      </c>
      <c r="F57" s="44"/>
      <c r="G57" s="15">
        <f t="shared" si="1"/>
        <v>29467.52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40" t="s">
        <v>9</v>
      </c>
      <c r="B58" s="20">
        <v>46011.0</v>
      </c>
      <c r="C58" s="11" t="s">
        <v>15</v>
      </c>
      <c r="D58" s="11" t="s">
        <v>71</v>
      </c>
      <c r="E58" s="16">
        <v>2059.17</v>
      </c>
      <c r="F58" s="18"/>
      <c r="G58" s="15">
        <f t="shared" si="1"/>
        <v>27408.35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40" t="s">
        <v>9</v>
      </c>
      <c r="B59" s="12">
        <v>46013.0</v>
      </c>
      <c r="C59" s="40" t="s">
        <v>10</v>
      </c>
      <c r="D59" s="23" t="s">
        <v>25</v>
      </c>
      <c r="E59" s="24"/>
      <c r="F59" s="27">
        <v>3988.95</v>
      </c>
      <c r="G59" s="15">
        <f t="shared" si="1"/>
        <v>31397.3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40" t="s">
        <v>9</v>
      </c>
      <c r="B60" s="26">
        <v>46014.0</v>
      </c>
      <c r="C60" s="40" t="s">
        <v>10</v>
      </c>
      <c r="D60" s="23" t="s">
        <v>11</v>
      </c>
      <c r="E60" s="24"/>
      <c r="F60" s="27">
        <v>3000.0</v>
      </c>
      <c r="G60" s="15">
        <f t="shared" si="1"/>
        <v>34397.3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40" t="s">
        <v>9</v>
      </c>
      <c r="B61" s="26">
        <v>46014.0</v>
      </c>
      <c r="C61" s="40" t="s">
        <v>10</v>
      </c>
      <c r="D61" s="23" t="s">
        <v>11</v>
      </c>
      <c r="E61" s="24"/>
      <c r="F61" s="27">
        <v>2300.0</v>
      </c>
      <c r="G61" s="15">
        <f t="shared" si="1"/>
        <v>36697.3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40" t="s">
        <v>9</v>
      </c>
      <c r="B62" s="26">
        <v>46014.0</v>
      </c>
      <c r="C62" s="40" t="s">
        <v>10</v>
      </c>
      <c r="D62" s="23" t="s">
        <v>25</v>
      </c>
      <c r="E62" s="24"/>
      <c r="F62" s="27">
        <v>553.36</v>
      </c>
      <c r="G62" s="15">
        <f t="shared" si="1"/>
        <v>37250.66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40" t="s">
        <v>9</v>
      </c>
      <c r="B63" s="46">
        <v>46015.0</v>
      </c>
      <c r="C63" s="40" t="s">
        <v>15</v>
      </c>
      <c r="D63" s="49" t="s">
        <v>72</v>
      </c>
      <c r="E63" s="48">
        <v>1510.83</v>
      </c>
      <c r="F63" s="44"/>
      <c r="G63" s="15">
        <f t="shared" si="1"/>
        <v>35739.83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0" t="s">
        <v>9</v>
      </c>
      <c r="B64" s="12">
        <v>46016.0</v>
      </c>
      <c r="C64" s="40" t="s">
        <v>10</v>
      </c>
      <c r="D64" s="23" t="s">
        <v>25</v>
      </c>
      <c r="E64" s="24"/>
      <c r="F64" s="27">
        <v>1526.72</v>
      </c>
      <c r="G64" s="15">
        <f t="shared" si="1"/>
        <v>37266.55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0" t="s">
        <v>9</v>
      </c>
      <c r="B65" s="26">
        <v>46017.0</v>
      </c>
      <c r="C65" s="40" t="s">
        <v>10</v>
      </c>
      <c r="D65" s="23" t="s">
        <v>11</v>
      </c>
      <c r="E65" s="24"/>
      <c r="F65" s="27">
        <v>1600.0</v>
      </c>
      <c r="G65" s="15">
        <f t="shared" si="1"/>
        <v>38866.55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0" t="s">
        <v>9</v>
      </c>
      <c r="B66" s="12">
        <v>46017.0</v>
      </c>
      <c r="C66" s="40" t="s">
        <v>10</v>
      </c>
      <c r="D66" s="23" t="s">
        <v>25</v>
      </c>
      <c r="E66" s="24"/>
      <c r="F66" s="27">
        <v>2903.69</v>
      </c>
      <c r="G66" s="15">
        <f t="shared" si="1"/>
        <v>41770.24</v>
      </c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0" t="s">
        <v>9</v>
      </c>
      <c r="B67" s="26">
        <v>46018.0</v>
      </c>
      <c r="C67" s="40" t="s">
        <v>10</v>
      </c>
      <c r="D67" s="23" t="s">
        <v>11</v>
      </c>
      <c r="E67" s="24"/>
      <c r="F67" s="27">
        <v>1300.0</v>
      </c>
      <c r="G67" s="15">
        <f t="shared" si="1"/>
        <v>43070.24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0" t="s">
        <v>9</v>
      </c>
      <c r="B68" s="26">
        <v>46018.0</v>
      </c>
      <c r="C68" s="40" t="s">
        <v>10</v>
      </c>
      <c r="D68" s="23" t="s">
        <v>11</v>
      </c>
      <c r="E68" s="24"/>
      <c r="F68" s="27">
        <v>1200.0</v>
      </c>
      <c r="G68" s="15">
        <f t="shared" si="1"/>
        <v>44270.24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40" t="s">
        <v>9</v>
      </c>
      <c r="B69" s="26">
        <v>46018.0</v>
      </c>
      <c r="C69" s="40" t="s">
        <v>10</v>
      </c>
      <c r="D69" s="23" t="s">
        <v>25</v>
      </c>
      <c r="E69" s="24"/>
      <c r="F69" s="27">
        <v>349.68</v>
      </c>
      <c r="G69" s="15">
        <f t="shared" si="1"/>
        <v>44619.92</v>
      </c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40" t="s">
        <v>9</v>
      </c>
      <c r="B70" s="26">
        <v>46019.0</v>
      </c>
      <c r="C70" s="40" t="s">
        <v>10</v>
      </c>
      <c r="D70" s="23" t="s">
        <v>25</v>
      </c>
      <c r="E70" s="24"/>
      <c r="F70" s="27">
        <v>2194.69</v>
      </c>
      <c r="G70" s="15">
        <f t="shared" si="1"/>
        <v>46814.61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40" t="s">
        <v>9</v>
      </c>
      <c r="B71" s="46">
        <v>46020.0</v>
      </c>
      <c r="C71" s="40" t="s">
        <v>15</v>
      </c>
      <c r="D71" s="49" t="s">
        <v>73</v>
      </c>
      <c r="E71" s="43">
        <v>875.0</v>
      </c>
      <c r="F71" s="44"/>
      <c r="G71" s="15">
        <f t="shared" si="1"/>
        <v>45939.61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40" t="s">
        <v>9</v>
      </c>
      <c r="B72" s="46">
        <v>46020.0</v>
      </c>
      <c r="C72" s="40" t="s">
        <v>10</v>
      </c>
      <c r="D72" s="23" t="s">
        <v>11</v>
      </c>
      <c r="E72" s="24"/>
      <c r="F72" s="27">
        <v>1800.0</v>
      </c>
      <c r="G72" s="15">
        <f t="shared" si="1"/>
        <v>47739.61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40" t="s">
        <v>9</v>
      </c>
      <c r="B73" s="46">
        <v>46020.0</v>
      </c>
      <c r="C73" s="40" t="s">
        <v>10</v>
      </c>
      <c r="D73" s="23" t="s">
        <v>25</v>
      </c>
      <c r="E73" s="24"/>
      <c r="F73" s="27">
        <v>863.69</v>
      </c>
      <c r="G73" s="15">
        <f t="shared" si="1"/>
        <v>48603.3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40" t="s">
        <v>9</v>
      </c>
      <c r="B74" s="46">
        <v>46021.0</v>
      </c>
      <c r="C74" s="40" t="s">
        <v>10</v>
      </c>
      <c r="D74" s="23" t="s">
        <v>11</v>
      </c>
      <c r="E74" s="24"/>
      <c r="F74" s="27">
        <v>974.34</v>
      </c>
      <c r="G74" s="15">
        <f t="shared" si="1"/>
        <v>49577.64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40" t="s">
        <v>9</v>
      </c>
      <c r="B75" s="46">
        <v>46021.0</v>
      </c>
      <c r="C75" s="40" t="s">
        <v>15</v>
      </c>
      <c r="D75" s="49" t="s">
        <v>74</v>
      </c>
      <c r="E75" s="48">
        <v>1905.86</v>
      </c>
      <c r="F75" s="44"/>
      <c r="G75" s="15">
        <f t="shared" si="1"/>
        <v>47671.78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40" t="s">
        <v>9</v>
      </c>
      <c r="B76" s="46">
        <v>46021.0</v>
      </c>
      <c r="C76" s="40" t="s">
        <v>10</v>
      </c>
      <c r="D76" s="52" t="s">
        <v>75</v>
      </c>
      <c r="E76" s="44"/>
      <c r="F76" s="44"/>
      <c r="G76" s="15">
        <f t="shared" si="1"/>
        <v>47671.78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40" t="s">
        <v>9</v>
      </c>
      <c r="B77" s="46">
        <v>46022.0</v>
      </c>
      <c r="C77" s="40" t="s">
        <v>10</v>
      </c>
      <c r="D77" s="23" t="s">
        <v>25</v>
      </c>
      <c r="E77" s="24"/>
      <c r="F77" s="27">
        <v>1391.97</v>
      </c>
      <c r="G77" s="15">
        <f t="shared" si="1"/>
        <v>49063.75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40" t="s">
        <v>9</v>
      </c>
      <c r="B78" s="46">
        <v>46022.0</v>
      </c>
      <c r="C78" s="11" t="s">
        <v>15</v>
      </c>
      <c r="D78" s="11" t="s">
        <v>76</v>
      </c>
      <c r="E78" s="16">
        <v>12654.0</v>
      </c>
      <c r="F78" s="18"/>
      <c r="G78" s="15">
        <f t="shared" si="1"/>
        <v>36409.75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40" t="s">
        <v>9</v>
      </c>
      <c r="B79" s="46">
        <v>46022.0</v>
      </c>
      <c r="C79" s="40" t="s">
        <v>15</v>
      </c>
      <c r="D79" s="49" t="s">
        <v>77</v>
      </c>
      <c r="E79" s="48">
        <v>670.0</v>
      </c>
      <c r="F79" s="44"/>
      <c r="G79" s="15">
        <f t="shared" si="1"/>
        <v>35739.75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40" t="s">
        <v>9</v>
      </c>
      <c r="B80" s="46">
        <v>46022.0</v>
      </c>
      <c r="C80" s="40" t="s">
        <v>10</v>
      </c>
      <c r="D80" s="23" t="s">
        <v>11</v>
      </c>
      <c r="E80" s="24"/>
      <c r="F80" s="27">
        <v>1370.0</v>
      </c>
      <c r="G80" s="15">
        <f t="shared" si="1"/>
        <v>37109.75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40" t="s">
        <v>9</v>
      </c>
      <c r="B81" s="46">
        <v>46022.0</v>
      </c>
      <c r="C81" s="40" t="s">
        <v>10</v>
      </c>
      <c r="D81" s="23"/>
      <c r="E81" s="24"/>
      <c r="F81" s="27"/>
      <c r="G81" s="15">
        <f t="shared" si="1"/>
        <v>37109.75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31"/>
      <c r="E82" s="32">
        <f>SUM(E4:E76)</f>
        <v>40580.68</v>
      </c>
      <c r="F82" s="33">
        <f>SUM(F16:F76)</f>
        <v>61114.45</v>
      </c>
      <c r="G82" s="53">
        <f>G81</f>
        <v>37109.75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34"/>
      <c r="B83" s="35"/>
      <c r="C83" s="35"/>
      <c r="D83" s="35"/>
      <c r="E83" s="36"/>
      <c r="F83" s="37"/>
      <c r="G83" s="3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</sheetData>
  <autoFilter ref="$A$2:$G$82"/>
  <mergeCells count="3">
    <mergeCell ref="A1:G1"/>
    <mergeCell ref="B3:F3"/>
    <mergeCell ref="A82:D82"/>
  </mergeCells>
  <conditionalFormatting sqref="B4:B81">
    <cfRule type="expression" dxfId="0" priority="1">
      <formula>AND(B4&lt;=TODAY(), A4&lt;&gt;"OK")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63"/>
    <col customWidth="1" min="2" max="2" width="24.13"/>
    <col customWidth="1" min="3" max="3" width="30.38"/>
    <col customWidth="1" min="4" max="4" width="55.25"/>
    <col customWidth="1" min="5" max="27" width="30.38"/>
  </cols>
  <sheetData>
    <row r="1">
      <c r="A1" s="57" t="s">
        <v>78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58" t="s">
        <v>1</v>
      </c>
      <c r="B2" s="59" t="s">
        <v>2</v>
      </c>
      <c r="C2" s="59" t="s">
        <v>3</v>
      </c>
      <c r="D2" s="59" t="s">
        <v>4</v>
      </c>
      <c r="E2" s="59" t="s">
        <v>5</v>
      </c>
      <c r="F2" s="59" t="s">
        <v>6</v>
      </c>
      <c r="G2" s="60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1"/>
      <c r="B3" s="62" t="s">
        <v>8</v>
      </c>
      <c r="C3" s="3"/>
      <c r="D3" s="3"/>
      <c r="E3" s="3"/>
      <c r="F3" s="4"/>
      <c r="G3" s="63">
        <f>Dezembro!G82</f>
        <v>37109.75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49" t="s">
        <v>9</v>
      </c>
      <c r="B4" s="26">
        <v>46023.0</v>
      </c>
      <c r="C4" s="40" t="s">
        <v>10</v>
      </c>
      <c r="D4" s="23" t="s">
        <v>25</v>
      </c>
      <c r="E4" s="24"/>
      <c r="F4" s="27">
        <v>4301.43</v>
      </c>
      <c r="G4" s="64">
        <f t="shared" ref="G4:G76" si="1">G3+F4-E4</f>
        <v>41411.18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49" t="s">
        <v>9</v>
      </c>
      <c r="B5" s="26">
        <v>46023.0</v>
      </c>
      <c r="C5" s="26" t="s">
        <v>15</v>
      </c>
      <c r="D5" s="49" t="s">
        <v>79</v>
      </c>
      <c r="E5" s="65">
        <v>1901.5</v>
      </c>
      <c r="F5" s="66"/>
      <c r="G5" s="64">
        <f t="shared" si="1"/>
        <v>39509.68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9" t="s">
        <v>9</v>
      </c>
      <c r="B6" s="26">
        <v>46024.0</v>
      </c>
      <c r="C6" s="40" t="s">
        <v>12</v>
      </c>
      <c r="D6" s="39" t="s">
        <v>39</v>
      </c>
      <c r="E6" s="41">
        <v>45.0</v>
      </c>
      <c r="F6" s="27"/>
      <c r="G6" s="64">
        <f t="shared" si="1"/>
        <v>39464.68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3" t="s">
        <v>9</v>
      </c>
      <c r="B7" s="26">
        <v>46024.0</v>
      </c>
      <c r="C7" s="40" t="s">
        <v>15</v>
      </c>
      <c r="D7" s="40" t="s">
        <v>80</v>
      </c>
      <c r="E7" s="67">
        <v>338.33</v>
      </c>
      <c r="F7" s="66"/>
      <c r="G7" s="64">
        <f t="shared" si="1"/>
        <v>39126.35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0.25" customHeight="1">
      <c r="A8" s="23" t="s">
        <v>9</v>
      </c>
      <c r="B8" s="26">
        <v>46025.0</v>
      </c>
      <c r="C8" s="40" t="s">
        <v>10</v>
      </c>
      <c r="D8" s="23" t="s">
        <v>25</v>
      </c>
      <c r="E8" s="24"/>
      <c r="F8" s="27">
        <v>675.94</v>
      </c>
      <c r="G8" s="64">
        <f t="shared" si="1"/>
        <v>39802.29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20.25" customHeight="1">
      <c r="A9" s="23" t="s">
        <v>9</v>
      </c>
      <c r="B9" s="26">
        <v>46025.0</v>
      </c>
      <c r="C9" s="40" t="s">
        <v>10</v>
      </c>
      <c r="D9" s="23" t="s">
        <v>25</v>
      </c>
      <c r="E9" s="24"/>
      <c r="F9" s="27">
        <v>959.42</v>
      </c>
      <c r="G9" s="64">
        <f t="shared" si="1"/>
        <v>40761.71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3" t="s">
        <v>9</v>
      </c>
      <c r="B10" s="26">
        <v>46025.0</v>
      </c>
      <c r="C10" s="23" t="s">
        <v>15</v>
      </c>
      <c r="D10" s="39" t="s">
        <v>81</v>
      </c>
      <c r="E10" s="41">
        <v>583.34</v>
      </c>
      <c r="F10" s="24"/>
      <c r="G10" s="64">
        <f t="shared" si="1"/>
        <v>40178.37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" t="s">
        <v>9</v>
      </c>
      <c r="B11" s="26">
        <v>46026.0</v>
      </c>
      <c r="C11" s="40" t="s">
        <v>10</v>
      </c>
      <c r="D11" s="23" t="s">
        <v>25</v>
      </c>
      <c r="E11" s="24"/>
      <c r="F11" s="27">
        <v>2277.03</v>
      </c>
      <c r="G11" s="64">
        <f t="shared" si="1"/>
        <v>42455.4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3" t="s">
        <v>9</v>
      </c>
      <c r="B12" s="26">
        <v>46026.0</v>
      </c>
      <c r="C12" s="40" t="s">
        <v>10</v>
      </c>
      <c r="D12" s="23" t="s">
        <v>11</v>
      </c>
      <c r="E12" s="24"/>
      <c r="F12" s="27">
        <v>1461.26</v>
      </c>
      <c r="G12" s="64">
        <f t="shared" si="1"/>
        <v>43916.66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3" t="s">
        <v>9</v>
      </c>
      <c r="B13" s="26">
        <v>46027.0</v>
      </c>
      <c r="C13" s="11" t="s">
        <v>14</v>
      </c>
      <c r="D13" s="39" t="s">
        <v>82</v>
      </c>
      <c r="E13" s="41">
        <v>70.0</v>
      </c>
      <c r="F13" s="24"/>
      <c r="G13" s="64">
        <f t="shared" si="1"/>
        <v>43846.66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3" t="s">
        <v>9</v>
      </c>
      <c r="B14" s="26">
        <v>46026.0</v>
      </c>
      <c r="C14" s="40" t="s">
        <v>10</v>
      </c>
      <c r="D14" s="23" t="s">
        <v>25</v>
      </c>
      <c r="E14" s="24"/>
      <c r="F14" s="27">
        <v>1482.1</v>
      </c>
      <c r="G14" s="64">
        <f t="shared" si="1"/>
        <v>45328.76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3" t="s">
        <v>9</v>
      </c>
      <c r="B15" s="26">
        <v>46028.0</v>
      </c>
      <c r="C15" s="40" t="s">
        <v>10</v>
      </c>
      <c r="D15" s="23" t="s">
        <v>25</v>
      </c>
      <c r="E15" s="24"/>
      <c r="F15" s="27">
        <v>174.49</v>
      </c>
      <c r="G15" s="64">
        <f t="shared" si="1"/>
        <v>45503.25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3" t="s">
        <v>9</v>
      </c>
      <c r="B16" s="26">
        <v>46029.0</v>
      </c>
      <c r="C16" s="40" t="s">
        <v>12</v>
      </c>
      <c r="D16" s="40" t="s">
        <v>39</v>
      </c>
      <c r="E16" s="67">
        <v>149.0</v>
      </c>
      <c r="F16" s="66"/>
      <c r="G16" s="64">
        <f t="shared" si="1"/>
        <v>45354.25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3" t="s">
        <v>9</v>
      </c>
      <c r="B17" s="26">
        <v>46028.0</v>
      </c>
      <c r="C17" s="40" t="s">
        <v>10</v>
      </c>
      <c r="D17" s="23" t="s">
        <v>25</v>
      </c>
      <c r="E17" s="24"/>
      <c r="F17" s="27">
        <v>1543.57</v>
      </c>
      <c r="G17" s="64">
        <f t="shared" si="1"/>
        <v>46897.82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3" t="s">
        <v>9</v>
      </c>
      <c r="B18" s="26">
        <v>46028.0</v>
      </c>
      <c r="C18" s="40" t="s">
        <v>10</v>
      </c>
      <c r="D18" s="23" t="s">
        <v>11</v>
      </c>
      <c r="E18" s="24"/>
      <c r="F18" s="27">
        <v>1900.0</v>
      </c>
      <c r="G18" s="64">
        <f t="shared" si="1"/>
        <v>48797.82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3" t="s">
        <v>9</v>
      </c>
      <c r="B19" s="26">
        <v>46029.0</v>
      </c>
      <c r="C19" s="40" t="s">
        <v>15</v>
      </c>
      <c r="D19" s="40" t="s">
        <v>83</v>
      </c>
      <c r="E19" s="65">
        <v>818.23</v>
      </c>
      <c r="F19" s="66"/>
      <c r="G19" s="64">
        <f t="shared" si="1"/>
        <v>47979.59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" t="s">
        <v>9</v>
      </c>
      <c r="B20" s="26">
        <v>46029.0</v>
      </c>
      <c r="C20" s="40" t="s">
        <v>12</v>
      </c>
      <c r="D20" s="40" t="s">
        <v>18</v>
      </c>
      <c r="E20" s="67">
        <v>350.0</v>
      </c>
      <c r="F20" s="66"/>
      <c r="G20" s="64">
        <f t="shared" si="1"/>
        <v>47629.59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3" t="s">
        <v>9</v>
      </c>
      <c r="B21" s="26">
        <v>46029.0</v>
      </c>
      <c r="C21" s="40" t="s">
        <v>19</v>
      </c>
      <c r="D21" s="40" t="s">
        <v>20</v>
      </c>
      <c r="E21" s="68">
        <v>2000.0</v>
      </c>
      <c r="F21" s="66"/>
      <c r="G21" s="64">
        <f t="shared" si="1"/>
        <v>45629.59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3" t="s">
        <v>9</v>
      </c>
      <c r="B22" s="26">
        <v>46029.0</v>
      </c>
      <c r="C22" s="40" t="s">
        <v>10</v>
      </c>
      <c r="D22" s="23" t="s">
        <v>25</v>
      </c>
      <c r="E22" s="24"/>
      <c r="F22" s="27">
        <v>2896.93</v>
      </c>
      <c r="G22" s="64">
        <f t="shared" si="1"/>
        <v>48526.52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3" t="s">
        <v>9</v>
      </c>
      <c r="B23" s="26">
        <v>46030.0</v>
      </c>
      <c r="C23" s="40" t="s">
        <v>10</v>
      </c>
      <c r="D23" s="23" t="s">
        <v>11</v>
      </c>
      <c r="E23" s="24"/>
      <c r="F23" s="27">
        <v>2418.04</v>
      </c>
      <c r="G23" s="64">
        <f t="shared" si="1"/>
        <v>50944.56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3" t="s">
        <v>9</v>
      </c>
      <c r="B24" s="26">
        <v>46030.0</v>
      </c>
      <c r="C24" s="23" t="s">
        <v>15</v>
      </c>
      <c r="D24" s="23" t="s">
        <v>84</v>
      </c>
      <c r="E24" s="69">
        <v>901.14</v>
      </c>
      <c r="F24" s="70"/>
      <c r="G24" s="64">
        <f t="shared" si="1"/>
        <v>50043.42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3" t="s">
        <v>9</v>
      </c>
      <c r="B25" s="26">
        <v>46031.0</v>
      </c>
      <c r="C25" s="40" t="s">
        <v>10</v>
      </c>
      <c r="D25" s="23" t="s">
        <v>25</v>
      </c>
      <c r="E25" s="24"/>
      <c r="F25" s="27">
        <v>1961.93</v>
      </c>
      <c r="G25" s="64">
        <f t="shared" si="1"/>
        <v>52005.35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3" t="s">
        <v>9</v>
      </c>
      <c r="B26" s="26">
        <v>46030.0</v>
      </c>
      <c r="C26" s="40" t="s">
        <v>10</v>
      </c>
      <c r="D26" s="23" t="s">
        <v>11</v>
      </c>
      <c r="E26" s="24"/>
      <c r="F26" s="27">
        <v>1533.78</v>
      </c>
      <c r="G26" s="64">
        <f t="shared" si="1"/>
        <v>53539.13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40" t="s">
        <v>9</v>
      </c>
      <c r="B27" s="26">
        <v>46030.0</v>
      </c>
      <c r="C27" s="23" t="s">
        <v>14</v>
      </c>
      <c r="D27" s="40" t="s">
        <v>82</v>
      </c>
      <c r="E27" s="65">
        <v>100.0</v>
      </c>
      <c r="F27" s="66"/>
      <c r="G27" s="64">
        <f t="shared" si="1"/>
        <v>53439.13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3" t="s">
        <v>9</v>
      </c>
      <c r="B28" s="26">
        <v>46032.0</v>
      </c>
      <c r="C28" s="11" t="s">
        <v>14</v>
      </c>
      <c r="D28" s="39" t="s">
        <v>82</v>
      </c>
      <c r="E28" s="65">
        <v>50.0</v>
      </c>
      <c r="F28" s="66"/>
      <c r="G28" s="64">
        <f t="shared" si="1"/>
        <v>53389.13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3" t="s">
        <v>9</v>
      </c>
      <c r="B29" s="26">
        <v>46031.0</v>
      </c>
      <c r="C29" s="40" t="s">
        <v>15</v>
      </c>
      <c r="D29" s="40" t="s">
        <v>85</v>
      </c>
      <c r="E29" s="65">
        <v>1108.33</v>
      </c>
      <c r="F29" s="66"/>
      <c r="G29" s="64">
        <f t="shared" si="1"/>
        <v>52280.8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3" t="s">
        <v>9</v>
      </c>
      <c r="B30" s="26">
        <v>46031.0</v>
      </c>
      <c r="C30" s="11" t="s">
        <v>15</v>
      </c>
      <c r="D30" s="26" t="s">
        <v>86</v>
      </c>
      <c r="E30" s="16">
        <v>1973.31</v>
      </c>
      <c r="F30" s="14"/>
      <c r="G30" s="64">
        <f t="shared" si="1"/>
        <v>50307.49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3" t="s">
        <v>9</v>
      </c>
      <c r="B31" s="26">
        <v>46032.0</v>
      </c>
      <c r="C31" s="40" t="s">
        <v>15</v>
      </c>
      <c r="D31" s="40" t="s">
        <v>87</v>
      </c>
      <c r="E31" s="67">
        <v>2330.0</v>
      </c>
      <c r="F31" s="66"/>
      <c r="G31" s="64">
        <f t="shared" si="1"/>
        <v>47977.49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3" t="s">
        <v>9</v>
      </c>
      <c r="B32" s="26">
        <v>46032.0</v>
      </c>
      <c r="C32" s="49" t="s">
        <v>88</v>
      </c>
      <c r="D32" s="49" t="s">
        <v>89</v>
      </c>
      <c r="E32" s="65">
        <v>196.52</v>
      </c>
      <c r="F32" s="66"/>
      <c r="G32" s="64">
        <f t="shared" si="1"/>
        <v>47780.97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3" t="s">
        <v>9</v>
      </c>
      <c r="B33" s="26">
        <v>46032.0</v>
      </c>
      <c r="C33" s="40" t="s">
        <v>22</v>
      </c>
      <c r="D33" s="40" t="s">
        <v>23</v>
      </c>
      <c r="E33" s="66"/>
      <c r="F33" s="71">
        <v>2246.82</v>
      </c>
      <c r="G33" s="64">
        <f t="shared" si="1"/>
        <v>50027.79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3" t="s">
        <v>9</v>
      </c>
      <c r="B34" s="26">
        <v>46032.0</v>
      </c>
      <c r="C34" s="40" t="s">
        <v>15</v>
      </c>
      <c r="D34" s="40" t="s">
        <v>24</v>
      </c>
      <c r="E34" s="67">
        <v>2246.82</v>
      </c>
      <c r="F34" s="66"/>
      <c r="G34" s="64">
        <f t="shared" si="1"/>
        <v>47780.97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23" t="s">
        <v>9</v>
      </c>
      <c r="B35" s="26">
        <v>46032.0</v>
      </c>
      <c r="C35" s="40" t="s">
        <v>26</v>
      </c>
      <c r="D35" s="40" t="s">
        <v>90</v>
      </c>
      <c r="E35" s="65">
        <v>65.97</v>
      </c>
      <c r="F35" s="66"/>
      <c r="G35" s="64">
        <f t="shared" si="1"/>
        <v>47715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3" t="s">
        <v>9</v>
      </c>
      <c r="B36" s="26">
        <v>46033.0</v>
      </c>
      <c r="C36" s="40" t="s">
        <v>10</v>
      </c>
      <c r="D36" s="23" t="s">
        <v>25</v>
      </c>
      <c r="E36" s="24"/>
      <c r="F36" s="27">
        <v>2261.0</v>
      </c>
      <c r="G36" s="64">
        <f t="shared" si="1"/>
        <v>49976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3" t="s">
        <v>9</v>
      </c>
      <c r="B37" s="26">
        <v>46034.0</v>
      </c>
      <c r="C37" s="40" t="s">
        <v>10</v>
      </c>
      <c r="D37" s="23" t="s">
        <v>11</v>
      </c>
      <c r="E37" s="24"/>
      <c r="F37" s="27">
        <v>3000.0</v>
      </c>
      <c r="G37" s="64">
        <f t="shared" si="1"/>
        <v>52976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23" t="s">
        <v>9</v>
      </c>
      <c r="B38" s="26">
        <v>46034.0</v>
      </c>
      <c r="C38" s="40" t="s">
        <v>15</v>
      </c>
      <c r="D38" s="49" t="s">
        <v>91</v>
      </c>
      <c r="E38" s="65">
        <v>1641.67</v>
      </c>
      <c r="F38" s="66"/>
      <c r="G38" s="64">
        <f t="shared" si="1"/>
        <v>51334.33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3" t="s">
        <v>9</v>
      </c>
      <c r="B39" s="26">
        <v>46034.0</v>
      </c>
      <c r="C39" s="40" t="s">
        <v>15</v>
      </c>
      <c r="D39" s="40" t="s">
        <v>92</v>
      </c>
      <c r="E39" s="65">
        <v>869.32</v>
      </c>
      <c r="F39" s="66"/>
      <c r="G39" s="64">
        <f t="shared" si="1"/>
        <v>50465.01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3" t="s">
        <v>9</v>
      </c>
      <c r="B40" s="26">
        <v>46034.0</v>
      </c>
      <c r="C40" s="40" t="s">
        <v>15</v>
      </c>
      <c r="D40" s="49" t="s">
        <v>93</v>
      </c>
      <c r="E40" s="65">
        <v>4408.8</v>
      </c>
      <c r="F40" s="66"/>
      <c r="G40" s="64">
        <f t="shared" si="1"/>
        <v>46056.21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23" t="s">
        <v>9</v>
      </c>
      <c r="B41" s="26">
        <v>46035.0</v>
      </c>
      <c r="C41" s="40" t="s">
        <v>10</v>
      </c>
      <c r="D41" s="23" t="s">
        <v>25</v>
      </c>
      <c r="E41" s="24"/>
      <c r="F41" s="27">
        <v>2861.06</v>
      </c>
      <c r="G41" s="64">
        <f t="shared" si="1"/>
        <v>48917.27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23" t="s">
        <v>9</v>
      </c>
      <c r="B42" s="26">
        <v>46036.0</v>
      </c>
      <c r="C42" s="40" t="s">
        <v>10</v>
      </c>
      <c r="D42" s="23" t="s">
        <v>25</v>
      </c>
      <c r="E42" s="24"/>
      <c r="F42" s="27">
        <v>1336.1</v>
      </c>
      <c r="G42" s="64">
        <f t="shared" si="1"/>
        <v>50253.37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23" t="s">
        <v>9</v>
      </c>
      <c r="B43" s="26">
        <v>46036.0</v>
      </c>
      <c r="C43" s="40" t="s">
        <v>10</v>
      </c>
      <c r="D43" s="23" t="s">
        <v>11</v>
      </c>
      <c r="E43" s="24"/>
      <c r="F43" s="27">
        <v>3197.93</v>
      </c>
      <c r="G43" s="64">
        <f t="shared" si="1"/>
        <v>53451.3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40" t="s">
        <v>9</v>
      </c>
      <c r="B44" s="26">
        <v>46036.0</v>
      </c>
      <c r="C44" s="23" t="s">
        <v>14</v>
      </c>
      <c r="D44" s="40" t="s">
        <v>82</v>
      </c>
      <c r="E44" s="65">
        <v>30.0</v>
      </c>
      <c r="F44" s="66"/>
      <c r="G44" s="64">
        <f t="shared" si="1"/>
        <v>53421.3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23" t="s">
        <v>9</v>
      </c>
      <c r="B45" s="26">
        <v>46036.0</v>
      </c>
      <c r="C45" s="40" t="s">
        <v>15</v>
      </c>
      <c r="D45" s="49" t="s">
        <v>94</v>
      </c>
      <c r="E45" s="48">
        <v>386.67</v>
      </c>
      <c r="F45" s="44"/>
      <c r="G45" s="64">
        <f t="shared" si="1"/>
        <v>53034.63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23" t="s">
        <v>9</v>
      </c>
      <c r="B46" s="26">
        <v>46037.0</v>
      </c>
      <c r="C46" s="40" t="s">
        <v>15</v>
      </c>
      <c r="D46" s="49" t="s">
        <v>95</v>
      </c>
      <c r="E46" s="65">
        <v>2658.33</v>
      </c>
      <c r="F46" s="66"/>
      <c r="G46" s="64">
        <f t="shared" si="1"/>
        <v>50376.3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23" t="s">
        <v>9</v>
      </c>
      <c r="B47" s="26">
        <v>46037.0</v>
      </c>
      <c r="C47" s="40" t="s">
        <v>15</v>
      </c>
      <c r="D47" s="40" t="s">
        <v>96</v>
      </c>
      <c r="E47" s="65">
        <v>1195.84</v>
      </c>
      <c r="F47" s="66"/>
      <c r="G47" s="64">
        <f t="shared" si="1"/>
        <v>49180.46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40" t="s">
        <v>9</v>
      </c>
      <c r="B48" s="26">
        <v>46037.0</v>
      </c>
      <c r="C48" s="40" t="s">
        <v>15</v>
      </c>
      <c r="D48" s="49" t="s">
        <v>97</v>
      </c>
      <c r="E48" s="48">
        <v>5876.0</v>
      </c>
      <c r="F48" s="44"/>
      <c r="G48" s="64">
        <f t="shared" si="1"/>
        <v>43304.46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3" t="s">
        <v>9</v>
      </c>
      <c r="B49" s="26">
        <v>46038.0</v>
      </c>
      <c r="C49" s="40" t="s">
        <v>15</v>
      </c>
      <c r="D49" s="40" t="s">
        <v>98</v>
      </c>
      <c r="E49" s="48">
        <v>2960.0</v>
      </c>
      <c r="F49" s="44"/>
      <c r="G49" s="64">
        <f t="shared" si="1"/>
        <v>40344.46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23" t="s">
        <v>9</v>
      </c>
      <c r="B50" s="26">
        <v>46038.0</v>
      </c>
      <c r="C50" s="40" t="s">
        <v>12</v>
      </c>
      <c r="D50" s="49" t="s">
        <v>99</v>
      </c>
      <c r="E50" s="48">
        <v>131.94</v>
      </c>
      <c r="F50" s="44"/>
      <c r="G50" s="64">
        <f t="shared" si="1"/>
        <v>40212.52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23" t="s">
        <v>9</v>
      </c>
      <c r="B51" s="26">
        <v>46038.0</v>
      </c>
      <c r="C51" s="40" t="s">
        <v>15</v>
      </c>
      <c r="D51" s="49" t="s">
        <v>100</v>
      </c>
      <c r="E51" s="48">
        <v>11100.0</v>
      </c>
      <c r="F51" s="44"/>
      <c r="G51" s="64">
        <f t="shared" si="1"/>
        <v>29112.52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23" t="s">
        <v>9</v>
      </c>
      <c r="B52" s="26">
        <v>46037.0</v>
      </c>
      <c r="C52" s="40" t="s">
        <v>10</v>
      </c>
      <c r="D52" s="23" t="s">
        <v>11</v>
      </c>
      <c r="E52" s="24"/>
      <c r="F52" s="27">
        <v>1444.44</v>
      </c>
      <c r="G52" s="64">
        <f t="shared" si="1"/>
        <v>30556.96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40" t="s">
        <v>9</v>
      </c>
      <c r="B53" s="42">
        <v>46038.0</v>
      </c>
      <c r="C53" s="40" t="s">
        <v>10</v>
      </c>
      <c r="D53" s="40" t="s">
        <v>11</v>
      </c>
      <c r="E53" s="44"/>
      <c r="F53" s="47">
        <v>1800.0</v>
      </c>
      <c r="G53" s="64">
        <f t="shared" si="1"/>
        <v>32356.96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3" t="s">
        <v>9</v>
      </c>
      <c r="B54" s="26">
        <v>46039.0</v>
      </c>
      <c r="C54" s="40" t="s">
        <v>10</v>
      </c>
      <c r="D54" s="23" t="s">
        <v>25</v>
      </c>
      <c r="E54" s="24"/>
      <c r="F54" s="27">
        <v>2212.4</v>
      </c>
      <c r="G54" s="64">
        <f t="shared" si="1"/>
        <v>34569.36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23" t="s">
        <v>9</v>
      </c>
      <c r="B55" s="26">
        <v>46040.0</v>
      </c>
      <c r="C55" s="40" t="s">
        <v>15</v>
      </c>
      <c r="D55" s="49" t="s">
        <v>101</v>
      </c>
      <c r="E55" s="65">
        <v>1750.0</v>
      </c>
      <c r="F55" s="66"/>
      <c r="G55" s="64">
        <f t="shared" si="1"/>
        <v>32819.36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23" t="s">
        <v>9</v>
      </c>
      <c r="B56" s="26">
        <v>46041.0</v>
      </c>
      <c r="C56" s="40" t="s">
        <v>10</v>
      </c>
      <c r="D56" s="23" t="s">
        <v>25</v>
      </c>
      <c r="E56" s="24"/>
      <c r="F56" s="27">
        <v>2596.91</v>
      </c>
      <c r="G56" s="64">
        <f t="shared" si="1"/>
        <v>35416.27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23" t="s">
        <v>9</v>
      </c>
      <c r="B57" s="26">
        <v>46042.0</v>
      </c>
      <c r="C57" s="40" t="s">
        <v>28</v>
      </c>
      <c r="D57" s="56" t="s">
        <v>102</v>
      </c>
      <c r="E57" s="65">
        <v>5661.8</v>
      </c>
      <c r="F57" s="66"/>
      <c r="G57" s="64">
        <f t="shared" si="1"/>
        <v>29754.47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23" t="s">
        <v>9</v>
      </c>
      <c r="B58" s="26">
        <v>46042.0</v>
      </c>
      <c r="C58" s="40" t="s">
        <v>10</v>
      </c>
      <c r="D58" s="40" t="s">
        <v>11</v>
      </c>
      <c r="E58" s="44"/>
      <c r="F58" s="50">
        <v>2456.07</v>
      </c>
      <c r="G58" s="64">
        <f t="shared" si="1"/>
        <v>32210.54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23" t="s">
        <v>9</v>
      </c>
      <c r="B59" s="26">
        <v>46043.0</v>
      </c>
      <c r="C59" s="40" t="s">
        <v>12</v>
      </c>
      <c r="D59" s="56" t="s">
        <v>103</v>
      </c>
      <c r="E59" s="65">
        <v>4285.15</v>
      </c>
      <c r="F59" s="66"/>
      <c r="G59" s="64">
        <f t="shared" si="1"/>
        <v>27925.39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23" t="s">
        <v>9</v>
      </c>
      <c r="B60" s="26">
        <v>46043.0</v>
      </c>
      <c r="C60" s="40" t="s">
        <v>10</v>
      </c>
      <c r="D60" s="23" t="s">
        <v>25</v>
      </c>
      <c r="E60" s="24"/>
      <c r="F60" s="27">
        <v>748.19</v>
      </c>
      <c r="G60" s="64">
        <f t="shared" si="1"/>
        <v>28673.58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23" t="s">
        <v>9</v>
      </c>
      <c r="B61" s="26">
        <v>46043.0</v>
      </c>
      <c r="C61" s="40" t="s">
        <v>10</v>
      </c>
      <c r="D61" s="40" t="s">
        <v>11</v>
      </c>
      <c r="E61" s="44"/>
      <c r="F61" s="50">
        <v>1286.89</v>
      </c>
      <c r="G61" s="64">
        <f t="shared" si="1"/>
        <v>29960.47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23" t="s">
        <v>9</v>
      </c>
      <c r="B62" s="26">
        <v>46044.0</v>
      </c>
      <c r="C62" s="23" t="s">
        <v>15</v>
      </c>
      <c r="D62" s="23" t="s">
        <v>104</v>
      </c>
      <c r="E62" s="69">
        <v>2059.16</v>
      </c>
      <c r="F62" s="70"/>
      <c r="G62" s="64">
        <f t="shared" si="1"/>
        <v>27901.31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23" t="s">
        <v>9</v>
      </c>
      <c r="B63" s="26">
        <v>46045.0</v>
      </c>
      <c r="C63" s="40" t="s">
        <v>15</v>
      </c>
      <c r="D63" s="40" t="s">
        <v>105</v>
      </c>
      <c r="E63" s="43">
        <v>1510.83</v>
      </c>
      <c r="F63" s="44"/>
      <c r="G63" s="64">
        <f t="shared" si="1"/>
        <v>26390.48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23" t="s">
        <v>9</v>
      </c>
      <c r="B64" s="26">
        <v>46045.0</v>
      </c>
      <c r="C64" s="40" t="s">
        <v>10</v>
      </c>
      <c r="D64" s="40" t="s">
        <v>11</v>
      </c>
      <c r="E64" s="44"/>
      <c r="F64" s="50">
        <v>2100.0</v>
      </c>
      <c r="G64" s="64">
        <f t="shared" si="1"/>
        <v>28490.48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23" t="s">
        <v>9</v>
      </c>
      <c r="B65" s="26">
        <v>46048.0</v>
      </c>
      <c r="C65" s="40" t="s">
        <v>10</v>
      </c>
      <c r="D65" s="23" t="s">
        <v>25</v>
      </c>
      <c r="E65" s="44"/>
      <c r="F65" s="50">
        <v>7520.22</v>
      </c>
      <c r="G65" s="64">
        <f t="shared" si="1"/>
        <v>36010.7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40" t="s">
        <v>9</v>
      </c>
      <c r="B66" s="42">
        <v>46049.0</v>
      </c>
      <c r="C66" s="23" t="s">
        <v>14</v>
      </c>
      <c r="D66" s="40" t="s">
        <v>82</v>
      </c>
      <c r="E66" s="67">
        <v>50.0</v>
      </c>
      <c r="F66" s="66"/>
      <c r="G66" s="64">
        <f t="shared" si="1"/>
        <v>35960.7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40" t="s">
        <v>9</v>
      </c>
      <c r="B67" s="42">
        <v>46049.0</v>
      </c>
      <c r="C67" s="40" t="s">
        <v>10</v>
      </c>
      <c r="D67" s="40" t="s">
        <v>11</v>
      </c>
      <c r="E67" s="44"/>
      <c r="F67" s="50">
        <v>3629.0</v>
      </c>
      <c r="G67" s="64">
        <f t="shared" si="1"/>
        <v>39589.7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49" t="s">
        <v>9</v>
      </c>
      <c r="B68" s="26">
        <v>46050.0</v>
      </c>
      <c r="C68" s="40" t="s">
        <v>12</v>
      </c>
      <c r="D68" s="39" t="s">
        <v>106</v>
      </c>
      <c r="E68" s="41">
        <v>150.0</v>
      </c>
      <c r="F68" s="27"/>
      <c r="G68" s="64">
        <f t="shared" si="1"/>
        <v>39439.7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23" t="s">
        <v>9</v>
      </c>
      <c r="B69" s="26">
        <v>46050.0</v>
      </c>
      <c r="C69" s="40" t="s">
        <v>10</v>
      </c>
      <c r="D69" s="23" t="s">
        <v>25</v>
      </c>
      <c r="E69" s="44"/>
      <c r="F69" s="50">
        <v>2810.55</v>
      </c>
      <c r="G69" s="64">
        <f t="shared" si="1"/>
        <v>42250.25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23" t="s">
        <v>9</v>
      </c>
      <c r="B70" s="26">
        <v>46050.0</v>
      </c>
      <c r="C70" s="40" t="s">
        <v>15</v>
      </c>
      <c r="D70" s="49" t="s">
        <v>107</v>
      </c>
      <c r="E70" s="48">
        <v>11266.66</v>
      </c>
      <c r="F70" s="44"/>
      <c r="G70" s="64">
        <f t="shared" si="1"/>
        <v>30983.59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23" t="s">
        <v>9</v>
      </c>
      <c r="B71" s="26">
        <v>46051.0</v>
      </c>
      <c r="C71" s="40" t="s">
        <v>10</v>
      </c>
      <c r="D71" s="40" t="s">
        <v>11</v>
      </c>
      <c r="E71" s="44"/>
      <c r="F71" s="50">
        <v>2240.39</v>
      </c>
      <c r="G71" s="64">
        <f t="shared" si="1"/>
        <v>33223.98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23" t="s">
        <v>9</v>
      </c>
      <c r="B72" s="26">
        <v>46052.0</v>
      </c>
      <c r="C72" s="40" t="s">
        <v>15</v>
      </c>
      <c r="D72" s="40" t="s">
        <v>108</v>
      </c>
      <c r="E72" s="65">
        <v>1904.61</v>
      </c>
      <c r="F72" s="66"/>
      <c r="G72" s="64">
        <f t="shared" si="1"/>
        <v>31319.37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23" t="s">
        <v>9</v>
      </c>
      <c r="B73" s="26">
        <v>46052.0</v>
      </c>
      <c r="C73" s="40" t="s">
        <v>15</v>
      </c>
      <c r="D73" s="49" t="s">
        <v>109</v>
      </c>
      <c r="E73" s="48">
        <v>670.0</v>
      </c>
      <c r="F73" s="44"/>
      <c r="G73" s="64">
        <f t="shared" si="1"/>
        <v>30649.37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23" t="s">
        <v>9</v>
      </c>
      <c r="B74" s="26">
        <v>46052.0</v>
      </c>
      <c r="C74" s="40" t="s">
        <v>10</v>
      </c>
      <c r="D74" s="23" t="s">
        <v>25</v>
      </c>
      <c r="E74" s="44"/>
      <c r="F74" s="50">
        <v>4335.76</v>
      </c>
      <c r="G74" s="64">
        <f t="shared" si="1"/>
        <v>34985.13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23" t="s">
        <v>9</v>
      </c>
      <c r="B75" s="26">
        <v>46053.0</v>
      </c>
      <c r="C75" s="40" t="s">
        <v>15</v>
      </c>
      <c r="D75" s="49" t="s">
        <v>110</v>
      </c>
      <c r="E75" s="65">
        <v>1901.5</v>
      </c>
      <c r="F75" s="66"/>
      <c r="G75" s="64">
        <f t="shared" si="1"/>
        <v>33083.63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23" t="s">
        <v>9</v>
      </c>
      <c r="B76" s="26">
        <v>46053.0</v>
      </c>
      <c r="C76" s="40" t="s">
        <v>10</v>
      </c>
      <c r="D76" s="40" t="s">
        <v>11</v>
      </c>
      <c r="E76" s="44"/>
      <c r="F76" s="50">
        <v>2718.86</v>
      </c>
      <c r="G76" s="64">
        <f t="shared" si="1"/>
        <v>35802.49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72"/>
      <c r="E77" s="73">
        <f t="shared" ref="E77:F77" si="2">SUM(E16:E75)</f>
        <v>74757.6</v>
      </c>
      <c r="F77" s="74">
        <f t="shared" si="2"/>
        <v>62337.98</v>
      </c>
      <c r="G77" s="75">
        <f>G75</f>
        <v>33083.63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76"/>
      <c r="B78" s="77"/>
      <c r="C78" s="77"/>
      <c r="D78" s="77"/>
      <c r="E78" s="77"/>
      <c r="F78" s="77"/>
      <c r="G78" s="7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</sheetData>
  <autoFilter ref="$A$2:$AA$77"/>
  <mergeCells count="3">
    <mergeCell ref="A1:G1"/>
    <mergeCell ref="B3:F3"/>
    <mergeCell ref="A77:D77"/>
  </mergeCells>
  <conditionalFormatting sqref="B76">
    <cfRule type="expression" dxfId="0" priority="1">
      <formula>AND(B33&lt;=TODAY(), A33&lt;&gt;"OK")</formula>
    </cfRule>
  </conditionalFormatting>
  <conditionalFormatting sqref="B76">
    <cfRule type="expression" dxfId="0" priority="2">
      <formula>AND(B40&lt;=TODAY(), A40&lt;&gt;"OK")</formula>
    </cfRule>
  </conditionalFormatting>
  <conditionalFormatting sqref="B56 B60">
    <cfRule type="expression" dxfId="0" priority="3">
      <formula>AND(B23&lt;=TODAY(), A23&lt;&gt;"OK")</formula>
    </cfRule>
  </conditionalFormatting>
  <conditionalFormatting sqref="B56 B60">
    <cfRule type="expression" dxfId="0" priority="4">
      <formula>AND(B16&lt;=TODAY(), A16&lt;&gt;"OK")</formula>
    </cfRule>
  </conditionalFormatting>
  <conditionalFormatting sqref="B52:B54 B58:B61 B64 B71">
    <cfRule type="expression" dxfId="0" priority="5">
      <formula>AND(B10&lt;=TODAY(), A10&lt;&gt;"OK")</formula>
    </cfRule>
  </conditionalFormatting>
  <conditionalFormatting sqref="B4:B76 C5">
    <cfRule type="expression" dxfId="0" priority="6">
      <formula>AND(B4&lt;=TODAY(), A4&lt;&gt;"OK")</formula>
    </cfRule>
  </conditionalFormatting>
  <conditionalFormatting sqref="B40:B45 B53:B54 B58:B61 B64 B71">
    <cfRule type="expression" dxfId="0" priority="7">
      <formula>AND(B5&lt;=TODAY(), A5&lt;&gt;"OK")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63"/>
    <col customWidth="1" min="2" max="2" width="24.13"/>
    <col customWidth="1" min="3" max="3" width="30.38"/>
    <col customWidth="1" min="4" max="4" width="55.25"/>
    <col customWidth="1" min="5" max="27" width="30.38"/>
  </cols>
  <sheetData>
    <row r="1">
      <c r="A1" s="57" t="s">
        <v>111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58" t="s">
        <v>1</v>
      </c>
      <c r="B2" s="59" t="s">
        <v>2</v>
      </c>
      <c r="C2" s="59" t="s">
        <v>3</v>
      </c>
      <c r="D2" s="59" t="s">
        <v>4</v>
      </c>
      <c r="E2" s="59" t="s">
        <v>5</v>
      </c>
      <c r="F2" s="59" t="s">
        <v>6</v>
      </c>
      <c r="G2" s="60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1"/>
      <c r="B3" s="62" t="s">
        <v>8</v>
      </c>
      <c r="C3" s="3"/>
      <c r="D3" s="3"/>
      <c r="E3" s="3"/>
      <c r="F3" s="4"/>
      <c r="G3" s="63">
        <f>'Jan26'!G77</f>
        <v>33083.63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23" t="s">
        <v>9</v>
      </c>
      <c r="B4" s="42">
        <v>46055.0</v>
      </c>
      <c r="C4" s="40" t="s">
        <v>15</v>
      </c>
      <c r="D4" s="49" t="s">
        <v>112</v>
      </c>
      <c r="E4" s="65">
        <v>338.34</v>
      </c>
      <c r="F4" s="66"/>
      <c r="G4" s="79">
        <f t="shared" ref="G4:G50" si="1">G3+F4-E4</f>
        <v>32745.29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3" t="s">
        <v>9</v>
      </c>
      <c r="B5" s="42">
        <v>46055.0</v>
      </c>
      <c r="C5" s="40" t="s">
        <v>10</v>
      </c>
      <c r="D5" s="23" t="s">
        <v>25</v>
      </c>
      <c r="E5" s="44"/>
      <c r="F5" s="50">
        <v>2814.33</v>
      </c>
      <c r="G5" s="79">
        <f t="shared" si="1"/>
        <v>35559.62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3" t="s">
        <v>9</v>
      </c>
      <c r="B6" s="42">
        <v>46055.0</v>
      </c>
      <c r="C6" s="40" t="s">
        <v>12</v>
      </c>
      <c r="D6" s="56" t="s">
        <v>113</v>
      </c>
      <c r="E6" s="65">
        <v>100.0</v>
      </c>
      <c r="F6" s="66"/>
      <c r="G6" s="79">
        <f t="shared" si="1"/>
        <v>35459.62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3" t="s">
        <v>9</v>
      </c>
      <c r="B7" s="42">
        <v>46055.0</v>
      </c>
      <c r="C7" s="40" t="s">
        <v>10</v>
      </c>
      <c r="D7" s="40" t="s">
        <v>11</v>
      </c>
      <c r="E7" s="44"/>
      <c r="F7" s="50">
        <v>2718.86</v>
      </c>
      <c r="G7" s="79">
        <f t="shared" si="1"/>
        <v>38178.48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3" t="s">
        <v>9</v>
      </c>
      <c r="B8" s="42">
        <v>46056.0</v>
      </c>
      <c r="C8" s="40" t="s">
        <v>10</v>
      </c>
      <c r="D8" s="40" t="s">
        <v>11</v>
      </c>
      <c r="E8" s="44"/>
      <c r="F8" s="50">
        <v>2796.84</v>
      </c>
      <c r="G8" s="79">
        <f t="shared" si="1"/>
        <v>40975.32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3" t="s">
        <v>9</v>
      </c>
      <c r="B9" s="42">
        <v>46057.0</v>
      </c>
      <c r="C9" s="40" t="s">
        <v>10</v>
      </c>
      <c r="D9" s="23" t="s">
        <v>25</v>
      </c>
      <c r="E9" s="44"/>
      <c r="F9" s="50">
        <v>1132.47</v>
      </c>
      <c r="G9" s="79">
        <f t="shared" si="1"/>
        <v>42107.79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3" t="s">
        <v>9</v>
      </c>
      <c r="B10" s="26">
        <v>46058.0</v>
      </c>
      <c r="C10" s="40" t="s">
        <v>10</v>
      </c>
      <c r="D10" s="40" t="s">
        <v>11</v>
      </c>
      <c r="E10" s="44"/>
      <c r="F10" s="50">
        <v>2189.51</v>
      </c>
      <c r="G10" s="79">
        <f t="shared" si="1"/>
        <v>44297.3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" t="s">
        <v>9</v>
      </c>
      <c r="B11" s="26">
        <v>46058.0</v>
      </c>
      <c r="C11" s="23" t="s">
        <v>15</v>
      </c>
      <c r="D11" s="39" t="s">
        <v>114</v>
      </c>
      <c r="E11" s="80">
        <v>3861.66</v>
      </c>
      <c r="F11" s="70"/>
      <c r="G11" s="79">
        <f t="shared" si="1"/>
        <v>40435.64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3" t="s">
        <v>9</v>
      </c>
      <c r="B12" s="26">
        <v>46058.0</v>
      </c>
      <c r="C12" s="40" t="s">
        <v>15</v>
      </c>
      <c r="D12" s="49" t="s">
        <v>115</v>
      </c>
      <c r="E12" s="65">
        <v>5875.0</v>
      </c>
      <c r="F12" s="66"/>
      <c r="G12" s="79">
        <f t="shared" si="1"/>
        <v>34560.64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3" t="s">
        <v>9</v>
      </c>
      <c r="B13" s="26">
        <v>46059.0</v>
      </c>
      <c r="C13" s="49" t="s">
        <v>88</v>
      </c>
      <c r="D13" s="49" t="s">
        <v>89</v>
      </c>
      <c r="E13" s="65">
        <f>197.99+17.32</f>
        <v>215.31</v>
      </c>
      <c r="F13" s="66"/>
      <c r="G13" s="79">
        <f t="shared" si="1"/>
        <v>34345.33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3" t="s">
        <v>9</v>
      </c>
      <c r="B14" s="26">
        <v>46059.0</v>
      </c>
      <c r="C14" s="40" t="s">
        <v>10</v>
      </c>
      <c r="D14" s="23" t="s">
        <v>25</v>
      </c>
      <c r="E14" s="24"/>
      <c r="F14" s="27">
        <v>1328.77</v>
      </c>
      <c r="G14" s="79">
        <f t="shared" si="1"/>
        <v>35674.1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3" t="s">
        <v>9</v>
      </c>
      <c r="B15" s="26">
        <v>46059.0</v>
      </c>
      <c r="C15" s="40" t="s">
        <v>12</v>
      </c>
      <c r="D15" s="40" t="s">
        <v>39</v>
      </c>
      <c r="E15" s="67">
        <v>149.0</v>
      </c>
      <c r="F15" s="66"/>
      <c r="G15" s="79">
        <f t="shared" si="1"/>
        <v>35525.1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3" t="s">
        <v>9</v>
      </c>
      <c r="B16" s="26">
        <v>46059.0</v>
      </c>
      <c r="C16" s="40" t="s">
        <v>12</v>
      </c>
      <c r="D16" s="40" t="s">
        <v>18</v>
      </c>
      <c r="E16" s="67">
        <v>350.0</v>
      </c>
      <c r="F16" s="66"/>
      <c r="G16" s="79">
        <f t="shared" si="1"/>
        <v>35175.1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3" t="s">
        <v>9</v>
      </c>
      <c r="B17" s="26">
        <v>46059.0</v>
      </c>
      <c r="C17" s="40" t="s">
        <v>19</v>
      </c>
      <c r="D17" s="40" t="s">
        <v>20</v>
      </c>
      <c r="E17" s="68">
        <v>2000.0</v>
      </c>
      <c r="F17" s="66"/>
      <c r="G17" s="79">
        <f t="shared" si="1"/>
        <v>33175.1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3" t="s">
        <v>9</v>
      </c>
      <c r="B18" s="26">
        <v>46059.0</v>
      </c>
      <c r="C18" s="40" t="s">
        <v>15</v>
      </c>
      <c r="D18" s="49" t="s">
        <v>116</v>
      </c>
      <c r="E18" s="65">
        <v>1108.34</v>
      </c>
      <c r="F18" s="66"/>
      <c r="G18" s="79">
        <f t="shared" si="1"/>
        <v>32066.76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3" t="s">
        <v>9</v>
      </c>
      <c r="B19" s="26">
        <v>46059.0</v>
      </c>
      <c r="C19" s="23" t="s">
        <v>15</v>
      </c>
      <c r="D19" s="39" t="s">
        <v>117</v>
      </c>
      <c r="E19" s="28">
        <v>1973.31</v>
      </c>
      <c r="F19" s="24"/>
      <c r="G19" s="79">
        <f t="shared" si="1"/>
        <v>30093.45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" t="s">
        <v>9</v>
      </c>
      <c r="B20" s="26">
        <v>46059.0</v>
      </c>
      <c r="C20" s="40" t="s">
        <v>15</v>
      </c>
      <c r="D20" s="49" t="s">
        <v>118</v>
      </c>
      <c r="E20" s="67">
        <v>2330.0</v>
      </c>
      <c r="F20" s="66"/>
      <c r="G20" s="79">
        <f t="shared" si="1"/>
        <v>27763.45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3" t="s">
        <v>9</v>
      </c>
      <c r="B21" s="26">
        <v>46060.0</v>
      </c>
      <c r="C21" s="40" t="s">
        <v>10</v>
      </c>
      <c r="D21" s="40" t="s">
        <v>11</v>
      </c>
      <c r="E21" s="24"/>
      <c r="F21" s="27">
        <v>1700.0</v>
      </c>
      <c r="G21" s="79">
        <f t="shared" si="1"/>
        <v>29463.45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8.75" customHeight="1">
      <c r="A22" s="23" t="s">
        <v>9</v>
      </c>
      <c r="B22" s="26">
        <v>46060.0</v>
      </c>
      <c r="C22" s="40" t="s">
        <v>10</v>
      </c>
      <c r="D22" s="23" t="s">
        <v>25</v>
      </c>
      <c r="E22" s="24"/>
      <c r="F22" s="27">
        <v>1669.62</v>
      </c>
      <c r="G22" s="79">
        <f t="shared" si="1"/>
        <v>31133.07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8.75" customHeight="1">
      <c r="A23" s="23" t="s">
        <v>9</v>
      </c>
      <c r="B23" s="26">
        <v>46061.0</v>
      </c>
      <c r="C23" s="11" t="s">
        <v>119</v>
      </c>
      <c r="D23" s="39" t="s">
        <v>120</v>
      </c>
      <c r="E23" s="41">
        <v>60.0</v>
      </c>
      <c r="F23" s="24"/>
      <c r="G23" s="79">
        <f t="shared" si="1"/>
        <v>31073.07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3" t="s">
        <v>9</v>
      </c>
      <c r="B24" s="26">
        <v>46062.0</v>
      </c>
      <c r="C24" s="40" t="s">
        <v>10</v>
      </c>
      <c r="D24" s="40" t="s">
        <v>11</v>
      </c>
      <c r="E24" s="24"/>
      <c r="F24" s="27">
        <v>1694.19</v>
      </c>
      <c r="G24" s="79">
        <f t="shared" si="1"/>
        <v>32767.26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3" t="s">
        <v>9</v>
      </c>
      <c r="B25" s="26">
        <v>46062.0</v>
      </c>
      <c r="C25" s="40" t="s">
        <v>12</v>
      </c>
      <c r="D25" s="49" t="s">
        <v>121</v>
      </c>
      <c r="E25" s="41">
        <v>158.0</v>
      </c>
      <c r="F25" s="27"/>
      <c r="G25" s="79">
        <f t="shared" si="1"/>
        <v>32609.26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3" t="s">
        <v>9</v>
      </c>
      <c r="B26" s="26">
        <v>46062.0</v>
      </c>
      <c r="C26" s="40" t="s">
        <v>10</v>
      </c>
      <c r="D26" s="23" t="s">
        <v>25</v>
      </c>
      <c r="E26" s="24"/>
      <c r="F26" s="27">
        <v>1344.84</v>
      </c>
      <c r="G26" s="79">
        <f t="shared" si="1"/>
        <v>33954.1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3" t="s">
        <v>9</v>
      </c>
      <c r="B27" s="26">
        <v>46063.0</v>
      </c>
      <c r="C27" s="40" t="s">
        <v>10</v>
      </c>
      <c r="D27" s="40" t="s">
        <v>11</v>
      </c>
      <c r="E27" s="24"/>
      <c r="F27" s="27">
        <v>800.0</v>
      </c>
      <c r="G27" s="79">
        <f t="shared" si="1"/>
        <v>34754.1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3" t="s">
        <v>9</v>
      </c>
      <c r="B28" s="26">
        <v>46065.0</v>
      </c>
      <c r="C28" s="40" t="s">
        <v>26</v>
      </c>
      <c r="D28" s="49" t="s">
        <v>122</v>
      </c>
      <c r="E28" s="67">
        <v>64.42</v>
      </c>
      <c r="F28" s="66"/>
      <c r="G28" s="79">
        <f t="shared" si="1"/>
        <v>34689.68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3" t="s">
        <v>9</v>
      </c>
      <c r="B29" s="26">
        <v>46065.0</v>
      </c>
      <c r="C29" s="40" t="s">
        <v>15</v>
      </c>
      <c r="D29" s="49" t="s">
        <v>123</v>
      </c>
      <c r="E29" s="65">
        <v>4299.17</v>
      </c>
      <c r="F29" s="66"/>
      <c r="G29" s="79">
        <f t="shared" si="1"/>
        <v>30390.51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3" t="s">
        <v>9</v>
      </c>
      <c r="B30" s="26">
        <v>46065.0</v>
      </c>
      <c r="C30" s="40" t="s">
        <v>15</v>
      </c>
      <c r="D30" s="49" t="s">
        <v>124</v>
      </c>
      <c r="E30" s="67">
        <v>852.0</v>
      </c>
      <c r="F30" s="66"/>
      <c r="G30" s="79">
        <f t="shared" si="1"/>
        <v>29538.51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3" t="s">
        <v>9</v>
      </c>
      <c r="B31" s="26">
        <v>46065.0</v>
      </c>
      <c r="C31" s="40" t="s">
        <v>10</v>
      </c>
      <c r="D31" s="23" t="s">
        <v>25</v>
      </c>
      <c r="E31" s="24"/>
      <c r="F31" s="27">
        <v>2955.25</v>
      </c>
      <c r="G31" s="79">
        <f t="shared" si="1"/>
        <v>32493.76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3" t="s">
        <v>9</v>
      </c>
      <c r="B32" s="26">
        <v>46066.0</v>
      </c>
      <c r="C32" s="40" t="s">
        <v>10</v>
      </c>
      <c r="D32" s="40" t="s">
        <v>11</v>
      </c>
      <c r="E32" s="24"/>
      <c r="F32" s="27">
        <v>1400.0</v>
      </c>
      <c r="G32" s="79">
        <f t="shared" si="1"/>
        <v>33893.76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8.75" customHeight="1">
      <c r="A33" s="23" t="s">
        <v>9</v>
      </c>
      <c r="B33" s="26">
        <v>46066.0</v>
      </c>
      <c r="C33" s="11" t="s">
        <v>119</v>
      </c>
      <c r="D33" s="39" t="s">
        <v>120</v>
      </c>
      <c r="E33" s="41">
        <v>60.0</v>
      </c>
      <c r="F33" s="24"/>
      <c r="G33" s="79">
        <f t="shared" si="1"/>
        <v>33833.76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3" t="s">
        <v>9</v>
      </c>
      <c r="B34" s="26">
        <v>46067.0</v>
      </c>
      <c r="C34" s="40" t="s">
        <v>10</v>
      </c>
      <c r="D34" s="23" t="s">
        <v>25</v>
      </c>
      <c r="E34" s="24"/>
      <c r="F34" s="27">
        <v>1586.14</v>
      </c>
      <c r="G34" s="79">
        <f t="shared" si="1"/>
        <v>35419.9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81" t="s">
        <v>125</v>
      </c>
      <c r="B35" s="26">
        <v>46066.0</v>
      </c>
      <c r="C35" s="40" t="s">
        <v>15</v>
      </c>
      <c r="D35" s="49" t="s">
        <v>126</v>
      </c>
      <c r="E35" s="65">
        <v>1641.67</v>
      </c>
      <c r="F35" s="66"/>
      <c r="G35" s="79">
        <f t="shared" si="1"/>
        <v>33778.23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81" t="s">
        <v>125</v>
      </c>
      <c r="B36" s="26">
        <v>46066.0</v>
      </c>
      <c r="C36" s="40" t="s">
        <v>15</v>
      </c>
      <c r="D36" s="49" t="s">
        <v>127</v>
      </c>
      <c r="E36" s="48">
        <v>386.66</v>
      </c>
      <c r="F36" s="44"/>
      <c r="G36" s="79">
        <f t="shared" si="1"/>
        <v>33391.57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81" t="s">
        <v>125</v>
      </c>
      <c r="B37" s="26">
        <v>46067.0</v>
      </c>
      <c r="C37" s="40" t="s">
        <v>15</v>
      </c>
      <c r="D37" s="49" t="s">
        <v>128</v>
      </c>
      <c r="E37" s="48">
        <v>2960.0</v>
      </c>
      <c r="F37" s="44"/>
      <c r="G37" s="79">
        <f t="shared" si="1"/>
        <v>30431.57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81" t="s">
        <v>125</v>
      </c>
      <c r="B38" s="26">
        <v>46068.0</v>
      </c>
      <c r="C38" s="40" t="s">
        <v>15</v>
      </c>
      <c r="D38" s="49" t="s">
        <v>129</v>
      </c>
      <c r="E38" s="65">
        <v>2658.33</v>
      </c>
      <c r="F38" s="66"/>
      <c r="G38" s="79">
        <f t="shared" si="1"/>
        <v>27773.24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3"/>
      <c r="B39" s="26">
        <v>46069.0</v>
      </c>
      <c r="C39" s="40" t="s">
        <v>10</v>
      </c>
      <c r="D39" s="40" t="s">
        <v>11</v>
      </c>
      <c r="E39" s="24"/>
      <c r="F39" s="27">
        <v>800.0</v>
      </c>
      <c r="G39" s="79">
        <f t="shared" si="1"/>
        <v>28573.24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3"/>
      <c r="B40" s="26">
        <v>46069.0</v>
      </c>
      <c r="C40" s="40" t="s">
        <v>10</v>
      </c>
      <c r="D40" s="40" t="s">
        <v>11</v>
      </c>
      <c r="E40" s="24"/>
      <c r="F40" s="27">
        <v>1560.0</v>
      </c>
      <c r="G40" s="79">
        <f t="shared" si="1"/>
        <v>30133.24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1"/>
      <c r="B41" s="26">
        <v>46069.0</v>
      </c>
      <c r="C41" s="49" t="s">
        <v>88</v>
      </c>
      <c r="D41" s="49" t="s">
        <v>89</v>
      </c>
      <c r="E41" s="65">
        <v>43.96</v>
      </c>
      <c r="F41" s="66"/>
      <c r="G41" s="79">
        <f t="shared" si="1"/>
        <v>30089.28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23"/>
      <c r="B42" s="26">
        <v>46069.0</v>
      </c>
      <c r="C42" s="40" t="s">
        <v>15</v>
      </c>
      <c r="D42" s="49" t="s">
        <v>130</v>
      </c>
      <c r="E42" s="48">
        <v>11100.0</v>
      </c>
      <c r="F42" s="44"/>
      <c r="G42" s="79">
        <f t="shared" si="1"/>
        <v>18989.28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2"/>
      <c r="B43" s="26">
        <v>46070.0</v>
      </c>
      <c r="C43" s="40" t="s">
        <v>15</v>
      </c>
      <c r="D43" s="49" t="s">
        <v>131</v>
      </c>
      <c r="E43" s="65">
        <v>1750.0</v>
      </c>
      <c r="F43" s="66"/>
      <c r="G43" s="79">
        <f t="shared" si="1"/>
        <v>17239.28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2"/>
      <c r="B44" s="26">
        <v>46072.0</v>
      </c>
      <c r="C44" s="40" t="s">
        <v>15</v>
      </c>
      <c r="D44" s="49" t="s">
        <v>132</v>
      </c>
      <c r="E44" s="65">
        <v>1140.0</v>
      </c>
      <c r="F44" s="66"/>
      <c r="G44" s="79">
        <f t="shared" si="1"/>
        <v>16099.28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82"/>
      <c r="B45" s="26">
        <v>46072.0</v>
      </c>
      <c r="C45" s="40" t="s">
        <v>15</v>
      </c>
      <c r="D45" s="49" t="s">
        <v>132</v>
      </c>
      <c r="E45" s="65">
        <v>1800.0</v>
      </c>
      <c r="F45" s="66"/>
      <c r="G45" s="79">
        <f t="shared" si="1"/>
        <v>14299.28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82"/>
      <c r="B46" s="26">
        <v>46073.0</v>
      </c>
      <c r="C46" s="40" t="s">
        <v>28</v>
      </c>
      <c r="D46" s="56" t="s">
        <v>133</v>
      </c>
      <c r="E46" s="65"/>
      <c r="F46" s="66"/>
      <c r="G46" s="79">
        <f t="shared" si="1"/>
        <v>14299.28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83"/>
      <c r="B47" s="26">
        <v>46075.0</v>
      </c>
      <c r="C47" s="40" t="s">
        <v>15</v>
      </c>
      <c r="D47" s="49" t="s">
        <v>134</v>
      </c>
      <c r="E47" s="48">
        <v>1510.84</v>
      </c>
      <c r="F47" s="44"/>
      <c r="G47" s="79">
        <f t="shared" si="1"/>
        <v>12788.44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82"/>
      <c r="B48" s="26">
        <v>46079.0</v>
      </c>
      <c r="C48" s="23" t="s">
        <v>15</v>
      </c>
      <c r="D48" s="39" t="s">
        <v>135</v>
      </c>
      <c r="E48" s="80">
        <v>2432.0</v>
      </c>
      <c r="F48" s="70"/>
      <c r="G48" s="79">
        <f t="shared" si="1"/>
        <v>10356.44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82"/>
      <c r="B49" s="26">
        <v>46079.0</v>
      </c>
      <c r="C49" s="23" t="s">
        <v>15</v>
      </c>
      <c r="D49" s="39" t="s">
        <v>136</v>
      </c>
      <c r="E49" s="80">
        <v>4188.0</v>
      </c>
      <c r="F49" s="70"/>
      <c r="G49" s="79">
        <f t="shared" si="1"/>
        <v>6168.44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84"/>
      <c r="B50" s="26" t="s">
        <v>137</v>
      </c>
      <c r="C50" s="40" t="s">
        <v>10</v>
      </c>
      <c r="D50" s="52" t="s">
        <v>75</v>
      </c>
      <c r="E50" s="66"/>
      <c r="F50" s="66"/>
      <c r="G50" s="79">
        <f t="shared" si="1"/>
        <v>6168.44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72"/>
      <c r="E51" s="73">
        <f t="shared" ref="E51:F51" si="2">SUM(E4:E50)</f>
        <v>55406.01</v>
      </c>
      <c r="F51" s="74">
        <f t="shared" si="2"/>
        <v>28490.82</v>
      </c>
      <c r="G51" s="75">
        <f>G50</f>
        <v>6168.44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76"/>
      <c r="B52" s="77"/>
      <c r="C52" s="77"/>
      <c r="D52" s="77"/>
      <c r="E52" s="77"/>
      <c r="F52" s="77"/>
      <c r="G52" s="7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</sheetData>
  <autoFilter ref="$A$2:$AA$51"/>
  <mergeCells count="3">
    <mergeCell ref="A1:G1"/>
    <mergeCell ref="B3:F3"/>
    <mergeCell ref="A51:D51"/>
  </mergeCells>
  <conditionalFormatting sqref="B9:B50">
    <cfRule type="expression" dxfId="0" priority="1">
      <formula>AND(B9&lt;=TODAY(), A9&lt;&gt;"OK")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63"/>
    <col customWidth="1" min="2" max="2" width="24.13"/>
    <col customWidth="1" min="3" max="3" width="30.38"/>
    <col customWidth="1" min="4" max="4" width="55.25"/>
    <col customWidth="1" min="5" max="27" width="30.38"/>
  </cols>
  <sheetData>
    <row r="1">
      <c r="A1" s="57" t="s">
        <v>138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58" t="s">
        <v>1</v>
      </c>
      <c r="B2" s="59" t="s">
        <v>2</v>
      </c>
      <c r="C2" s="59" t="s">
        <v>3</v>
      </c>
      <c r="D2" s="59" t="s">
        <v>4</v>
      </c>
      <c r="E2" s="59" t="s">
        <v>5</v>
      </c>
      <c r="F2" s="59" t="s">
        <v>6</v>
      </c>
      <c r="G2" s="60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5"/>
      <c r="B3" s="62" t="s">
        <v>8</v>
      </c>
      <c r="C3" s="3"/>
      <c r="D3" s="3"/>
      <c r="E3" s="3"/>
      <c r="F3" s="4"/>
      <c r="G3" s="63">
        <f>'Fev26'!G51</f>
        <v>6168.44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86"/>
      <c r="B4" s="26">
        <v>46082.0</v>
      </c>
      <c r="C4" s="40" t="s">
        <v>15</v>
      </c>
      <c r="D4" s="49" t="s">
        <v>139</v>
      </c>
      <c r="E4" s="65">
        <v>1901.5</v>
      </c>
      <c r="F4" s="66"/>
      <c r="G4" s="79">
        <f t="shared" ref="G4:G26" si="1">G3+F4-E4</f>
        <v>4266.94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1"/>
      <c r="B5" s="26">
        <v>46082.0</v>
      </c>
      <c r="C5" s="40" t="s">
        <v>15</v>
      </c>
      <c r="D5" s="49" t="s">
        <v>140</v>
      </c>
      <c r="E5" s="48">
        <v>670.0</v>
      </c>
      <c r="F5" s="44"/>
      <c r="G5" s="79">
        <f t="shared" si="1"/>
        <v>3596.94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87"/>
      <c r="B6" s="26">
        <v>46085.0</v>
      </c>
      <c r="C6" s="40" t="s">
        <v>15</v>
      </c>
      <c r="D6" s="49" t="s">
        <v>141</v>
      </c>
      <c r="E6" s="48">
        <v>386.66</v>
      </c>
      <c r="F6" s="44"/>
      <c r="G6" s="79">
        <f t="shared" si="1"/>
        <v>3210.28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87"/>
      <c r="B7" s="26">
        <v>46088.0</v>
      </c>
      <c r="C7" s="40" t="s">
        <v>15</v>
      </c>
      <c r="D7" s="49" t="s">
        <v>142</v>
      </c>
      <c r="E7" s="65">
        <v>5875.0</v>
      </c>
      <c r="F7" s="66"/>
      <c r="G7" s="79">
        <f t="shared" si="1"/>
        <v>-2664.72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87"/>
      <c r="B8" s="26">
        <v>46088.0</v>
      </c>
      <c r="C8" s="40" t="s">
        <v>15</v>
      </c>
      <c r="D8" s="49" t="s">
        <v>143</v>
      </c>
      <c r="E8" s="65">
        <v>3861.67</v>
      </c>
      <c r="F8" s="66"/>
      <c r="G8" s="79">
        <f t="shared" si="1"/>
        <v>-6526.39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86"/>
      <c r="B9" s="26">
        <v>46088.0</v>
      </c>
      <c r="C9" s="40" t="s">
        <v>12</v>
      </c>
      <c r="D9" s="40" t="s">
        <v>39</v>
      </c>
      <c r="E9" s="67">
        <v>149.0</v>
      </c>
      <c r="F9" s="66"/>
      <c r="G9" s="79">
        <f t="shared" si="1"/>
        <v>-6675.39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86"/>
      <c r="B10" s="26">
        <v>46088.0</v>
      </c>
      <c r="C10" s="40" t="s">
        <v>12</v>
      </c>
      <c r="D10" s="40" t="s">
        <v>18</v>
      </c>
      <c r="E10" s="67">
        <v>350.0</v>
      </c>
      <c r="F10" s="66"/>
      <c r="G10" s="79">
        <f t="shared" si="1"/>
        <v>-7025.39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86"/>
      <c r="B11" s="26">
        <v>46088.0</v>
      </c>
      <c r="C11" s="40" t="s">
        <v>19</v>
      </c>
      <c r="D11" s="40" t="s">
        <v>20</v>
      </c>
      <c r="E11" s="68">
        <v>2000.0</v>
      </c>
      <c r="F11" s="66"/>
      <c r="G11" s="79">
        <f t="shared" si="1"/>
        <v>-9025.39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3"/>
      <c r="B12" s="26">
        <v>46091.0</v>
      </c>
      <c r="C12" s="40" t="s">
        <v>15</v>
      </c>
      <c r="D12" s="49" t="s">
        <v>144</v>
      </c>
      <c r="E12" s="48">
        <v>11266.66</v>
      </c>
      <c r="F12" s="44"/>
      <c r="G12" s="79">
        <f t="shared" si="1"/>
        <v>-20292.05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87"/>
      <c r="B13" s="26">
        <v>46091.0</v>
      </c>
      <c r="C13" s="23" t="s">
        <v>15</v>
      </c>
      <c r="D13" s="39" t="s">
        <v>145</v>
      </c>
      <c r="E13" s="28">
        <v>1973.31</v>
      </c>
      <c r="F13" s="24"/>
      <c r="G13" s="79">
        <f t="shared" si="1"/>
        <v>-22265.36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86"/>
      <c r="B14" s="26">
        <v>46091.0</v>
      </c>
      <c r="C14" s="40" t="s">
        <v>22</v>
      </c>
      <c r="D14" s="40" t="s">
        <v>23</v>
      </c>
      <c r="E14" s="66"/>
      <c r="F14" s="71">
        <v>2246.82</v>
      </c>
      <c r="G14" s="79">
        <f t="shared" si="1"/>
        <v>-20018.54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86"/>
      <c r="B15" s="26">
        <v>46091.0</v>
      </c>
      <c r="C15" s="40" t="s">
        <v>15</v>
      </c>
      <c r="D15" s="40" t="s">
        <v>24</v>
      </c>
      <c r="E15" s="67">
        <v>2246.82</v>
      </c>
      <c r="F15" s="66"/>
      <c r="G15" s="79">
        <f t="shared" si="1"/>
        <v>-22265.36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87"/>
      <c r="B16" s="26">
        <v>46092.0</v>
      </c>
      <c r="C16" s="40" t="s">
        <v>15</v>
      </c>
      <c r="D16" s="49" t="s">
        <v>146</v>
      </c>
      <c r="E16" s="65">
        <v>1641.66</v>
      </c>
      <c r="F16" s="66"/>
      <c r="G16" s="79">
        <f t="shared" si="1"/>
        <v>-23907.02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87"/>
      <c r="B17" s="26">
        <v>46093.0</v>
      </c>
      <c r="C17" s="40" t="s">
        <v>15</v>
      </c>
      <c r="D17" s="49" t="s">
        <v>147</v>
      </c>
      <c r="E17" s="65">
        <v>4299.16</v>
      </c>
      <c r="F17" s="66"/>
      <c r="G17" s="79">
        <f t="shared" si="1"/>
        <v>-28206.18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86"/>
      <c r="B18" s="26">
        <v>46094.0</v>
      </c>
      <c r="C18" s="40" t="s">
        <v>26</v>
      </c>
      <c r="D18" s="49" t="s">
        <v>148</v>
      </c>
      <c r="E18" s="67">
        <v>64.42</v>
      </c>
      <c r="F18" s="66"/>
      <c r="G18" s="79">
        <f t="shared" si="1"/>
        <v>-28270.6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86"/>
      <c r="B19" s="26">
        <v>46096.0</v>
      </c>
      <c r="C19" s="40" t="s">
        <v>15</v>
      </c>
      <c r="D19" s="49" t="s">
        <v>149</v>
      </c>
      <c r="E19" s="65">
        <v>2658.33</v>
      </c>
      <c r="F19" s="66"/>
      <c r="G19" s="79">
        <f t="shared" si="1"/>
        <v>-30928.93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"/>
      <c r="B20" s="26">
        <v>46097.0</v>
      </c>
      <c r="C20" s="40" t="s">
        <v>15</v>
      </c>
      <c r="D20" s="49" t="s">
        <v>150</v>
      </c>
      <c r="E20" s="48">
        <v>11100.0</v>
      </c>
      <c r="F20" s="44"/>
      <c r="G20" s="79">
        <f t="shared" si="1"/>
        <v>-42028.93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86"/>
      <c r="B21" s="26">
        <v>46097.0</v>
      </c>
      <c r="C21" s="40" t="s">
        <v>15</v>
      </c>
      <c r="D21" s="49" t="s">
        <v>151</v>
      </c>
      <c r="E21" s="65">
        <v>1750.0</v>
      </c>
      <c r="F21" s="66"/>
      <c r="G21" s="79">
        <f t="shared" si="1"/>
        <v>-43778.93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86"/>
      <c r="B22" s="26">
        <v>46100.0</v>
      </c>
      <c r="C22" s="40" t="s">
        <v>15</v>
      </c>
      <c r="D22" s="49" t="s">
        <v>152</v>
      </c>
      <c r="E22" s="65">
        <v>1140.0</v>
      </c>
      <c r="F22" s="66"/>
      <c r="G22" s="79">
        <f t="shared" si="1"/>
        <v>-44918.93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86"/>
      <c r="B23" s="26">
        <v>46102.0</v>
      </c>
      <c r="C23" s="40" t="s">
        <v>15</v>
      </c>
      <c r="D23" s="49" t="s">
        <v>152</v>
      </c>
      <c r="E23" s="65">
        <v>1800.0</v>
      </c>
      <c r="F23" s="66"/>
      <c r="G23" s="79">
        <f t="shared" si="1"/>
        <v>-46718.93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86"/>
      <c r="B24" s="26">
        <v>46109.0</v>
      </c>
      <c r="C24" s="23" t="s">
        <v>15</v>
      </c>
      <c r="D24" s="39" t="s">
        <v>153</v>
      </c>
      <c r="E24" s="80">
        <v>2432.0</v>
      </c>
      <c r="F24" s="70"/>
      <c r="G24" s="79">
        <f t="shared" si="1"/>
        <v>-49150.93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86"/>
      <c r="B25" s="26">
        <v>46109.0</v>
      </c>
      <c r="C25" s="23" t="s">
        <v>15</v>
      </c>
      <c r="D25" s="39" t="s">
        <v>154</v>
      </c>
      <c r="E25" s="80">
        <v>4188.0</v>
      </c>
      <c r="F25" s="70"/>
      <c r="G25" s="79">
        <f t="shared" si="1"/>
        <v>-53338.93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86"/>
      <c r="B26" s="26">
        <v>46101.0</v>
      </c>
      <c r="C26" s="40" t="s">
        <v>28</v>
      </c>
      <c r="D26" s="56" t="s">
        <v>133</v>
      </c>
      <c r="E26" s="67">
        <v>0.0</v>
      </c>
      <c r="F26" s="66"/>
      <c r="G26" s="79">
        <f t="shared" si="1"/>
        <v>-53338.93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88"/>
      <c r="E27" s="73">
        <f>SUM(E4:E26)</f>
        <v>61754.19</v>
      </c>
      <c r="F27" s="74">
        <f>SUM(F9:F26)</f>
        <v>2246.82</v>
      </c>
      <c r="G27" s="75">
        <f>G26</f>
        <v>-53338.93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89"/>
      <c r="B28" s="77"/>
      <c r="C28" s="77"/>
      <c r="D28" s="77"/>
      <c r="E28" s="77"/>
      <c r="F28" s="77"/>
      <c r="G28" s="7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77"/>
      <c r="B29" s="77"/>
      <c r="C29" s="77"/>
      <c r="D29" s="77"/>
      <c r="E29" s="77"/>
      <c r="F29" s="77"/>
      <c r="G29" s="7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77"/>
      <c r="B30" s="77"/>
      <c r="C30" s="77"/>
      <c r="D30" s="77"/>
      <c r="E30" s="77"/>
      <c r="F30" s="77"/>
      <c r="G30" s="7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</sheetData>
  <mergeCells count="3">
    <mergeCell ref="A1:G1"/>
    <mergeCell ref="B3:F3"/>
    <mergeCell ref="A27:D27"/>
  </mergeCells>
  <conditionalFormatting sqref="B4:B26">
    <cfRule type="expression" dxfId="0" priority="1">
      <formula>AND(B4&lt;=TODAY(), A4&lt;&gt;"OK")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63"/>
    <col customWidth="1" min="2" max="2" width="24.13"/>
    <col customWidth="1" min="3" max="3" width="30.38"/>
    <col customWidth="1" min="4" max="4" width="46.63"/>
    <col customWidth="1" min="5" max="27" width="30.38"/>
  </cols>
  <sheetData>
    <row r="1">
      <c r="A1" s="57" t="s">
        <v>155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58" t="s">
        <v>1</v>
      </c>
      <c r="B2" s="59" t="s">
        <v>2</v>
      </c>
      <c r="C2" s="59" t="s">
        <v>3</v>
      </c>
      <c r="D2" s="59" t="s">
        <v>4</v>
      </c>
      <c r="E2" s="59" t="s">
        <v>5</v>
      </c>
      <c r="F2" s="59" t="s">
        <v>6</v>
      </c>
      <c r="G2" s="60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5"/>
      <c r="B3" s="62" t="s">
        <v>8</v>
      </c>
      <c r="C3" s="3"/>
      <c r="D3" s="3"/>
      <c r="E3" s="3"/>
      <c r="F3" s="4"/>
      <c r="G3" s="63">
        <f>'Mar26'!G27</f>
        <v>-53338.93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87"/>
      <c r="B4" s="42">
        <v>46118.0</v>
      </c>
      <c r="C4" s="40" t="s">
        <v>15</v>
      </c>
      <c r="D4" s="49" t="s">
        <v>156</v>
      </c>
      <c r="E4" s="65">
        <v>3861.67</v>
      </c>
      <c r="F4" s="66"/>
      <c r="G4" s="79">
        <f t="shared" ref="G4:G16" si="1">G3+F4-E4</f>
        <v>-57200.6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87"/>
      <c r="B5" s="42">
        <v>46118.0</v>
      </c>
      <c r="C5" s="40" t="s">
        <v>15</v>
      </c>
      <c r="D5" s="49" t="s">
        <v>157</v>
      </c>
      <c r="E5" s="65">
        <v>5875.0</v>
      </c>
      <c r="F5" s="66"/>
      <c r="G5" s="79">
        <f t="shared" si="1"/>
        <v>-63075.6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86"/>
      <c r="B6" s="42">
        <v>46119.0</v>
      </c>
      <c r="C6" s="40" t="s">
        <v>12</v>
      </c>
      <c r="D6" s="40" t="s">
        <v>39</v>
      </c>
      <c r="E6" s="67">
        <v>149.0</v>
      </c>
      <c r="F6" s="66"/>
      <c r="G6" s="79">
        <f t="shared" si="1"/>
        <v>-63224.6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86"/>
      <c r="B7" s="42">
        <v>46119.0</v>
      </c>
      <c r="C7" s="40" t="s">
        <v>12</v>
      </c>
      <c r="D7" s="40" t="s">
        <v>18</v>
      </c>
      <c r="E7" s="67">
        <v>350.0</v>
      </c>
      <c r="F7" s="66"/>
      <c r="G7" s="79">
        <f t="shared" si="1"/>
        <v>-63574.6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86"/>
      <c r="B8" s="42">
        <v>46119.0</v>
      </c>
      <c r="C8" s="40" t="s">
        <v>19</v>
      </c>
      <c r="D8" s="40" t="s">
        <v>20</v>
      </c>
      <c r="E8" s="68">
        <v>2000.0</v>
      </c>
      <c r="F8" s="66"/>
      <c r="G8" s="79">
        <f t="shared" si="1"/>
        <v>-65574.6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87"/>
      <c r="B9" s="42">
        <v>46122.0</v>
      </c>
      <c r="C9" s="40" t="s">
        <v>15</v>
      </c>
      <c r="D9" s="49" t="s">
        <v>158</v>
      </c>
      <c r="E9" s="43">
        <v>11266.66</v>
      </c>
      <c r="F9" s="44"/>
      <c r="G9" s="79">
        <f t="shared" si="1"/>
        <v>-76841.26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87"/>
      <c r="B10" s="42">
        <v>46124.0</v>
      </c>
      <c r="C10" s="40" t="s">
        <v>15</v>
      </c>
      <c r="D10" s="49" t="s">
        <v>159</v>
      </c>
      <c r="E10" s="65">
        <v>4299.16</v>
      </c>
      <c r="F10" s="66"/>
      <c r="G10" s="79">
        <f t="shared" si="1"/>
        <v>-81140.42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86"/>
      <c r="B11" s="42">
        <v>46125.0</v>
      </c>
      <c r="C11" s="40" t="s">
        <v>26</v>
      </c>
      <c r="D11" s="49" t="s">
        <v>160</v>
      </c>
      <c r="E11" s="67">
        <v>64.42</v>
      </c>
      <c r="F11" s="66"/>
      <c r="G11" s="79">
        <f t="shared" si="1"/>
        <v>-81204.84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86"/>
      <c r="B12" s="42">
        <v>46131.0</v>
      </c>
      <c r="C12" s="40" t="s">
        <v>15</v>
      </c>
      <c r="D12" s="49" t="s">
        <v>161</v>
      </c>
      <c r="E12" s="65">
        <v>1140.0</v>
      </c>
      <c r="F12" s="66"/>
      <c r="G12" s="79">
        <f t="shared" si="1"/>
        <v>-82344.84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86"/>
      <c r="B13" s="42">
        <v>46132.0</v>
      </c>
      <c r="C13" s="40" t="s">
        <v>15</v>
      </c>
      <c r="D13" s="49" t="s">
        <v>161</v>
      </c>
      <c r="E13" s="65">
        <v>1800.0</v>
      </c>
      <c r="F13" s="66"/>
      <c r="G13" s="79">
        <f t="shared" si="1"/>
        <v>-84144.84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86"/>
      <c r="B14" s="42">
        <v>46139.0</v>
      </c>
      <c r="C14" s="23" t="s">
        <v>15</v>
      </c>
      <c r="D14" s="39" t="s">
        <v>162</v>
      </c>
      <c r="E14" s="80">
        <v>2432.0</v>
      </c>
      <c r="F14" s="70"/>
      <c r="G14" s="79">
        <f t="shared" si="1"/>
        <v>-86576.84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86"/>
      <c r="B15" s="42">
        <v>46139.0</v>
      </c>
      <c r="C15" s="40" t="s">
        <v>15</v>
      </c>
      <c r="D15" s="49" t="s">
        <v>163</v>
      </c>
      <c r="E15" s="65">
        <v>4188.0</v>
      </c>
      <c r="F15" s="66"/>
      <c r="G15" s="79">
        <f t="shared" si="1"/>
        <v>-90764.84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86"/>
      <c r="B16" s="42">
        <v>46132.0</v>
      </c>
      <c r="C16" s="40" t="s">
        <v>28</v>
      </c>
      <c r="D16" s="56" t="s">
        <v>164</v>
      </c>
      <c r="E16" s="67">
        <v>0.0</v>
      </c>
      <c r="F16" s="66"/>
      <c r="G16" s="79">
        <f t="shared" si="1"/>
        <v>-90764.84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88"/>
      <c r="E17" s="73">
        <f>SUM(E4:E16)</f>
        <v>37425.91</v>
      </c>
      <c r="F17" s="74">
        <f>SUM(F6:F16)</f>
        <v>0</v>
      </c>
      <c r="G17" s="75">
        <f>G16</f>
        <v>-90764.84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89"/>
      <c r="B18" s="77"/>
      <c r="C18" s="77"/>
      <c r="D18" s="77"/>
      <c r="E18" s="77"/>
      <c r="F18" s="77"/>
      <c r="G18" s="7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77"/>
      <c r="B19" s="77"/>
      <c r="C19" s="77"/>
      <c r="D19" s="77"/>
      <c r="E19" s="77"/>
      <c r="F19" s="77"/>
      <c r="G19" s="7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77"/>
      <c r="B20" s="77"/>
      <c r="C20" s="77"/>
      <c r="D20" s="77"/>
      <c r="E20" s="77"/>
      <c r="F20" s="77"/>
      <c r="G20" s="7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</sheetData>
  <mergeCells count="3">
    <mergeCell ref="A1:G1"/>
    <mergeCell ref="B3:F3"/>
    <mergeCell ref="A17:D17"/>
  </mergeCells>
  <drawing r:id="rId1"/>
</worksheet>
</file>